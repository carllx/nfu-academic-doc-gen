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tabRatio="935"/>
  </bookViews>
  <sheets>
    <sheet name="附表一" sheetId="19" r:id="rId1"/>
    <sheet name="附表二" sheetId="7" r:id="rId2"/>
    <sheet name="附表三" sheetId="21" r:id="rId3"/>
  </sheets>
  <definedNames>
    <definedName name="_xlnm.Print_Titles" localSheetId="0">附表一!$2:$5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PC</author>
  </authors>
  <commentList>
    <comment ref="E5" authorId="0">
      <text>
        <r>
          <rPr>
            <b/>
            <sz val="9"/>
            <rFont val="宋体"/>
            <charset val="134"/>
          </rPr>
          <t>PC:清空原来的内容，手动计算下</t>
        </r>
      </text>
    </comment>
  </commentList>
</comments>
</file>

<file path=xl/sharedStrings.xml><?xml version="1.0" encoding="utf-8"?>
<sst xmlns="http://schemas.openxmlformats.org/spreadsheetml/2006/main" count="355" uniqueCount="277">
  <si>
    <t>附表一</t>
  </si>
  <si>
    <t xml:space="preserve">课程计划进程表  </t>
  </si>
  <si>
    <t>课程性质</t>
  </si>
  <si>
    <t>学分
修读要求</t>
  </si>
  <si>
    <t>课程
中文名称</t>
  </si>
  <si>
    <t>课程
英文名称</t>
  </si>
  <si>
    <t>课程学分、学时分配</t>
  </si>
  <si>
    <t>各学年、学期每周课内学时</t>
  </si>
  <si>
    <t>学分</t>
  </si>
  <si>
    <t>总
学时</t>
  </si>
  <si>
    <t>讲授学时</t>
  </si>
  <si>
    <t>实践学时</t>
  </si>
  <si>
    <t>1学年</t>
  </si>
  <si>
    <t>2学年</t>
  </si>
  <si>
    <t>3学年</t>
  </si>
  <si>
    <t>4学年</t>
  </si>
  <si>
    <t>公共
必修</t>
  </si>
  <si>
    <t>大学英语课</t>
  </si>
  <si>
    <t>大学英语（一）</t>
  </si>
  <si>
    <t>College English I</t>
  </si>
  <si>
    <t>大学英语（二）</t>
  </si>
  <si>
    <t>College English Ⅱ</t>
  </si>
  <si>
    <t>大学英语（三）</t>
  </si>
  <si>
    <t>College English Ⅲ</t>
  </si>
  <si>
    <t>大学英语（四）</t>
  </si>
  <si>
    <t>College English Ⅳ</t>
  </si>
  <si>
    <t>大学体育课</t>
  </si>
  <si>
    <t>体育（一）</t>
  </si>
  <si>
    <t>Physical Education(1）</t>
  </si>
  <si>
    <t>体育（二）</t>
  </si>
  <si>
    <t>Physical Education(2）</t>
  </si>
  <si>
    <t>体育（三）</t>
  </si>
  <si>
    <t>Physical Education(3）</t>
  </si>
  <si>
    <t>体育（四）</t>
  </si>
  <si>
    <t>Physical Education(4）</t>
  </si>
  <si>
    <t>思政必修课</t>
  </si>
  <si>
    <t>习近平新时代中国特色社会主义思想概论</t>
  </si>
  <si>
    <t>Introduction to Xi Jinping's Socialist Thought with Chinese Characteristics for a New Era</t>
  </si>
  <si>
    <t>中国近现代史纲要</t>
  </si>
  <si>
    <t>Survey of Chinese Modern History</t>
  </si>
  <si>
    <t>马克思主义基本原理</t>
  </si>
  <si>
    <t>Basic Principles of Marxism</t>
  </si>
  <si>
    <t>毛泽东思想和中国特色社会主义理论体系概论</t>
  </si>
  <si>
    <t>Introduction to the Theoretical System of Socialism with Chinese Characteristics and Mao Zedong Thought</t>
  </si>
  <si>
    <t>思想道德与法治</t>
  </si>
  <si>
    <t>Ideological Morality and Rule of Law</t>
  </si>
  <si>
    <t>形势与政策</t>
  </si>
  <si>
    <t xml:space="preserve">Situation and Policy </t>
  </si>
  <si>
    <t>国家安全教育</t>
  </si>
  <si>
    <t>National Security Education</t>
  </si>
  <si>
    <t>通识必修课</t>
  </si>
  <si>
    <t>人文价值
（选修2门）</t>
  </si>
  <si>
    <t>全球视野</t>
  </si>
  <si>
    <t>科技应用</t>
  </si>
  <si>
    <t>交叉创新</t>
  </si>
  <si>
    <t>军事理论与技能</t>
  </si>
  <si>
    <t>Military Theory and Military Skills</t>
  </si>
  <si>
    <t>36学时+2周</t>
  </si>
  <si>
    <t>2周</t>
  </si>
  <si>
    <t>军事理论36学时+2周军事技能训练</t>
  </si>
  <si>
    <t>大学生心理健康教育</t>
  </si>
  <si>
    <t>Mental health education of College Students</t>
  </si>
  <si>
    <t>创业基础（理论）</t>
  </si>
  <si>
    <t>Foundation of Establishing a business（Theory）</t>
  </si>
  <si>
    <t>创业基础（实践）</t>
  </si>
  <si>
    <t>Foundation of Establishing a Business(Practice)</t>
  </si>
  <si>
    <t>劳动教育课</t>
  </si>
  <si>
    <t>劳动教育</t>
  </si>
  <si>
    <t>Labour Education</t>
  </si>
  <si>
    <t>公共必修应修学分（学时）合计</t>
  </si>
  <si>
    <t>公共
选修</t>
  </si>
  <si>
    <t>美育限定性
选修课</t>
  </si>
  <si>
    <t>美育限定性选修课须修读满0学分</t>
  </si>
  <si>
    <t xml:space="preserve">校级公选课和学术
报告型
公选课
</t>
  </si>
  <si>
    <t>校级公选课和学术报告型公选课须修读须满6学分</t>
  </si>
  <si>
    <t>公共选修应修（学时）合计</t>
  </si>
  <si>
    <t>专业
必修</t>
  </si>
  <si>
    <t>专业基础课</t>
  </si>
  <si>
    <t>艺术概论</t>
  </si>
  <si>
    <t>Introduction to art</t>
  </si>
  <si>
    <t>计算机辅助设计(PS)</t>
  </si>
  <si>
    <t>Computer Aided Design(PS)</t>
  </si>
  <si>
    <t>设计思维与方法</t>
  </si>
  <si>
    <t>Design Thinking and Methods</t>
  </si>
  <si>
    <t>造型基础一</t>
  </si>
  <si>
    <t>Plastic Art Training 1</t>
  </si>
  <si>
    <t>设计心理学</t>
  </si>
  <si>
    <t>design psychology</t>
  </si>
  <si>
    <t>设计表现</t>
  </si>
  <si>
    <t>Design performance</t>
  </si>
  <si>
    <t>造型基础二</t>
  </si>
  <si>
    <t>Plastic Art Training 2</t>
  </si>
  <si>
    <t>中外设计史</t>
  </si>
  <si>
    <t xml:space="preserve">A history of Chinese and foreign design </t>
  </si>
  <si>
    <t>专业核心课</t>
  </si>
  <si>
    <t>视听语言</t>
  </si>
  <si>
    <t>Audio-visual language</t>
  </si>
  <si>
    <t>故事板设计</t>
  </si>
  <si>
    <t>Storyboard design</t>
  </si>
  <si>
    <t>非线性剪辑</t>
  </si>
  <si>
    <t>Nonlinear editing</t>
  </si>
  <si>
    <t>交互设计原理</t>
  </si>
  <si>
    <t>Human-computer interaction interface design</t>
  </si>
  <si>
    <t>影视项目管理</t>
  </si>
  <si>
    <t>Film and television project management</t>
  </si>
  <si>
    <t>数字媒体艺术导论</t>
  </si>
  <si>
    <t>Introduction to Digital Media Art</t>
  </si>
  <si>
    <t>影视摄影基础</t>
  </si>
  <si>
    <t>Fundamentals of film and television photography</t>
  </si>
  <si>
    <t>专业基础/核心课应修学分（学时）合计</t>
  </si>
  <si>
    <t>专业方向课</t>
  </si>
  <si>
    <t>方向一：影视</t>
  </si>
  <si>
    <t>影视美术综合设计</t>
  </si>
  <si>
    <t>Comprehensive design of film and Television Art</t>
  </si>
  <si>
    <t>影视特效制作</t>
  </si>
  <si>
    <t>Film and television visual effects production</t>
  </si>
  <si>
    <t>导演基础</t>
  </si>
  <si>
    <t>Directing Basics</t>
  </si>
  <si>
    <t>动态图形设计</t>
  </si>
  <si>
    <t>Motion Graphic Design</t>
  </si>
  <si>
    <t>影视广告创作</t>
  </si>
  <si>
    <t>Film and Television Advertisement Production</t>
  </si>
  <si>
    <t>微电影创作</t>
  </si>
  <si>
    <t xml:space="preserve"> Microfilm Creation</t>
  </si>
  <si>
    <t>方向二：游戏动画</t>
  </si>
  <si>
    <t>动画运动规律</t>
  </si>
  <si>
    <t>Principles of Animation Movement</t>
  </si>
  <si>
    <t>角色设计</t>
  </si>
  <si>
    <t>Character design</t>
  </si>
  <si>
    <t>三维动画基础</t>
  </si>
  <si>
    <t>Fundamentals of 3D animation</t>
  </si>
  <si>
    <t>数字游戏设计基础</t>
  </si>
  <si>
    <t>Fundamentals of digital game design</t>
  </si>
  <si>
    <t>虚拟现实应用设计</t>
  </si>
  <si>
    <t>Virtual reality application design</t>
  </si>
  <si>
    <t>游戏设计综合实训</t>
  </si>
  <si>
    <t>Comprehensive training of game design</t>
  </si>
  <si>
    <t>专业方向课应修学分（学时）合计</t>
  </si>
  <si>
    <t>专业实习</t>
  </si>
  <si>
    <t>Professional practice</t>
  </si>
  <si>
    <t>8周</t>
  </si>
  <si>
    <t>就业指导（理论+
实践）</t>
  </si>
  <si>
    <t>就业指导（理论+实践）</t>
  </si>
  <si>
    <t>Career guidance (theory + practice)</t>
  </si>
  <si>
    <t>毕业论文/设计</t>
  </si>
  <si>
    <t>Graduation thesis / design</t>
  </si>
  <si>
    <t>12周</t>
  </si>
  <si>
    <t xml:space="preserve">专业必修应修学分（学时）合计 </t>
  </si>
  <si>
    <t>专业
选修</t>
  </si>
  <si>
    <t>专业指选课</t>
  </si>
  <si>
    <t>大学生成长成才导论(指定选修课)</t>
  </si>
  <si>
    <t>Undergraduate Course on the Introduction to College Students' Growth and Development</t>
  </si>
  <si>
    <t>大学人文基础(指定选修课)</t>
  </si>
  <si>
    <t>College Humanities Foundation (Designated Electives)</t>
  </si>
  <si>
    <t>专业指选课应修学分（学时）合计</t>
  </si>
  <si>
    <t>专业任选课</t>
  </si>
  <si>
    <t>电影史</t>
  </si>
  <si>
    <t>Film History</t>
  </si>
  <si>
    <t>跨媒体叙事</t>
  </si>
  <si>
    <t>Transmedia Narration</t>
  </si>
  <si>
    <t>动画史</t>
  </si>
  <si>
    <t>History of Animation</t>
  </si>
  <si>
    <t>网络产品运营与推广</t>
  </si>
  <si>
    <t>Online Product Operation and Promotion</t>
  </si>
  <si>
    <t>游戏设计概论</t>
  </si>
  <si>
    <t>Introduction to Game Design</t>
  </si>
  <si>
    <t>游戏策划</t>
  </si>
  <si>
    <t>Game Design</t>
  </si>
  <si>
    <t>游戏道具设计</t>
  </si>
  <si>
    <t>Game Prop Design</t>
  </si>
  <si>
    <t>场景设计</t>
  </si>
  <si>
    <t>Scene Design</t>
  </si>
  <si>
    <t>故事创作</t>
  </si>
  <si>
    <t>Screenwriting and Creative Concepts</t>
  </si>
  <si>
    <t>数字合成</t>
  </si>
  <si>
    <t>Digital Compositing</t>
  </si>
  <si>
    <t>信息可视化设计</t>
  </si>
  <si>
    <t>Information Visualization Design</t>
  </si>
  <si>
    <t>人机交互界面设计</t>
  </si>
  <si>
    <t>三维动画进阶</t>
  </si>
  <si>
    <t>Advanced 3D animation</t>
  </si>
  <si>
    <t>游戏关卡设计</t>
  </si>
  <si>
    <t>Game episode design</t>
  </si>
  <si>
    <t>交互装置设计</t>
  </si>
  <si>
    <t>Interactive Installation Design</t>
  </si>
  <si>
    <t>数字衍生产品</t>
  </si>
  <si>
    <t>Digital derivatives products</t>
  </si>
  <si>
    <t>数字媒体产业前言</t>
  </si>
  <si>
    <t>The industry frontier of digital media</t>
  </si>
  <si>
    <t>虚拟现实技术-虚拟制片</t>
  </si>
  <si>
    <t>Virtual Reality Technology - Virtual Production</t>
  </si>
  <si>
    <t>品牌开发与授权管理</t>
  </si>
  <si>
    <t>Brand Development and Licensing Management</t>
  </si>
  <si>
    <t>动画游戏特效设计</t>
  </si>
  <si>
    <t>Special effects design of animation games</t>
  </si>
  <si>
    <t>动画综合实训</t>
  </si>
  <si>
    <t>Comprehensive Animation Training</t>
  </si>
  <si>
    <t>定格实验短片制作</t>
  </si>
  <si>
    <t>Stop Motion Experimental Short Film Production</t>
  </si>
  <si>
    <t>交互产品综合创作</t>
  </si>
  <si>
    <t>Comprehensive Interactive Product Creation</t>
  </si>
  <si>
    <t>AIGC数字艺术创意</t>
  </si>
  <si>
    <t>AIGC Digital Art Creativity</t>
  </si>
  <si>
    <t>影视人物造型设计</t>
  </si>
  <si>
    <t>Character Design for Film and Television</t>
  </si>
  <si>
    <t>影视包装设计</t>
  </si>
  <si>
    <t>Film and Television Packaging Design</t>
  </si>
  <si>
    <t>纪录片实务</t>
  </si>
  <si>
    <t>Documentary practice</t>
  </si>
  <si>
    <t>数字调色</t>
  </si>
  <si>
    <t>Digital Color Grading</t>
  </si>
  <si>
    <t>交互影像创作</t>
  </si>
  <si>
    <t>Interactive Video Creation</t>
  </si>
  <si>
    <t>数字音频</t>
  </si>
  <si>
    <t>Digital Audio</t>
  </si>
  <si>
    <t>数字短片创作</t>
  </si>
  <si>
    <t>Digital Short Film Creation</t>
  </si>
  <si>
    <t>专业任选课应修学分（学时）合计</t>
  </si>
  <si>
    <t>专业选修应修学分（学时）合计</t>
  </si>
  <si>
    <t>33/84</t>
  </si>
  <si>
    <t>651/1648</t>
  </si>
  <si>
    <t>307/776</t>
  </si>
  <si>
    <t>344/872</t>
  </si>
  <si>
    <t>附表二</t>
  </si>
  <si>
    <t>各学期学分分配表</t>
  </si>
  <si>
    <t>课程
类别</t>
  </si>
  <si>
    <t>课程
性质</t>
  </si>
  <si>
    <t>总学分</t>
  </si>
  <si>
    <t>总学时</t>
  </si>
  <si>
    <t>学分与学期分配</t>
  </si>
  <si>
    <t>一</t>
  </si>
  <si>
    <t>二</t>
  </si>
  <si>
    <t>三</t>
  </si>
  <si>
    <t>四</t>
  </si>
  <si>
    <t>五</t>
  </si>
  <si>
    <t>六</t>
  </si>
  <si>
    <t>七</t>
  </si>
  <si>
    <t>八</t>
  </si>
  <si>
    <t>公共教育</t>
  </si>
  <si>
    <t>必修课</t>
  </si>
  <si>
    <t>选修课</t>
  </si>
  <si>
    <t>专业教育</t>
  </si>
  <si>
    <t>总计</t>
  </si>
  <si>
    <t>特别说明</t>
  </si>
  <si>
    <t>数字媒体艺术专业实习学期为第7学期，除实习学期和第八学期外，每学期修读的各类课程总学分上限为29学分。</t>
  </si>
  <si>
    <t>附表三</t>
  </si>
  <si>
    <t>实践教学计划表</t>
  </si>
  <si>
    <t>课程类别</t>
  </si>
  <si>
    <t>课程名称</t>
  </si>
  <si>
    <t>开设学时或周数</t>
  </si>
  <si>
    <t>开设学期</t>
  </si>
  <si>
    <t>实践教学</t>
  </si>
  <si>
    <t>第一学期</t>
  </si>
  <si>
    <t>第二学期</t>
  </si>
  <si>
    <t>第三学期</t>
  </si>
  <si>
    <t>第四学期</t>
  </si>
  <si>
    <t>影视美术综合设计(影视方向)</t>
  </si>
  <si>
    <t>影视特效制作(影视方向)</t>
  </si>
  <si>
    <t>第五学期</t>
  </si>
  <si>
    <t>导演基础(影视方向)</t>
  </si>
  <si>
    <t>动态图形设计(影视方向)</t>
  </si>
  <si>
    <t>第六学期</t>
  </si>
  <si>
    <t>影视广告创作(影视方向)</t>
  </si>
  <si>
    <t>第七学期</t>
  </si>
  <si>
    <t>微电影创作(影视方向)</t>
  </si>
  <si>
    <t>动画运动规律（游戏动画方向）</t>
  </si>
  <si>
    <t>角色设计（游戏动画方向）</t>
  </si>
  <si>
    <t>三维动画基础（游戏动画方向）</t>
  </si>
  <si>
    <t>数字游戏设计基础（游戏动画方向）</t>
  </si>
  <si>
    <t>虚拟现实应用设计（游戏动画方向）</t>
  </si>
  <si>
    <t>游戏设计综合实训（游戏动画方向）</t>
  </si>
  <si>
    <t>第八学期</t>
  </si>
  <si>
    <t>小计</t>
  </si>
  <si>
    <t xml:space="preserve">小计 </t>
  </si>
  <si>
    <t>应修合计</t>
  </si>
  <si>
    <t>实践教学学分占比</t>
  </si>
  <si>
    <t>备注：列出实验、实践、实训等实践教学课程的安排，包括独立设置的实验、实践、实训课程以及其他实验、实践、实训学时≥50%的课程。集中性实践教学环节原则上按1周为1学分。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</si>
</sst>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5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6"/>
      <name val="宋体"/>
      <charset val="134"/>
    </font>
    <font>
      <b/>
      <sz val="11"/>
      <name val="楷体"/>
      <charset val="134"/>
    </font>
    <font>
      <sz val="11"/>
      <name val="楷体"/>
      <charset val="134"/>
    </font>
    <font>
      <sz val="10.5"/>
      <color rgb="FF000000"/>
      <name val="楷体"/>
      <charset val="134"/>
    </font>
    <font>
      <sz val="11"/>
      <color rgb="FFFF0000"/>
      <name val="楷体"/>
      <charset val="134"/>
    </font>
    <font>
      <sz val="10.5"/>
      <color rgb="FFFF0000"/>
      <name val="楷体"/>
      <charset val="134"/>
    </font>
    <font>
      <sz val="11"/>
      <color theme="1"/>
      <name val="楷体"/>
      <charset val="134"/>
    </font>
    <font>
      <b/>
      <sz val="16"/>
      <color theme="1"/>
      <name val="宋体"/>
      <charset val="134"/>
    </font>
    <font>
      <b/>
      <sz val="10.5"/>
      <color rgb="FF000000"/>
      <name val="楷体"/>
      <charset val="134"/>
    </font>
    <font>
      <sz val="10.5"/>
      <name val="楷体"/>
      <charset val="134"/>
    </font>
    <font>
      <sz val="10.5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b/>
      <sz val="16"/>
      <name val="宋体"/>
      <charset val="134"/>
      <scheme val="minor"/>
    </font>
    <font>
      <b/>
      <sz val="10.5"/>
      <name val="楷体"/>
      <charset val="134"/>
    </font>
    <font>
      <b/>
      <sz val="8"/>
      <name val="楷体"/>
      <charset val="134"/>
    </font>
    <font>
      <sz val="10.5"/>
      <color theme="1"/>
      <name val="楷体"/>
      <charset val="134"/>
    </font>
    <font>
      <sz val="10"/>
      <name val="楷体"/>
      <charset val="134"/>
    </font>
    <font>
      <sz val="8"/>
      <name val="楷体"/>
      <charset val="134"/>
    </font>
    <font>
      <sz val="10"/>
      <color rgb="FFFF0000"/>
      <name val="楷体"/>
      <charset val="134"/>
    </font>
    <font>
      <sz val="8"/>
      <color rgb="FFFF0000"/>
      <name val="楷体"/>
      <charset val="134"/>
    </font>
    <font>
      <sz val="11"/>
      <color rgb="FFFF0000"/>
      <name val="宋体"/>
      <charset val="134"/>
    </font>
    <font>
      <sz val="10"/>
      <color theme="1"/>
      <name val="楷体"/>
      <charset val="134"/>
    </font>
    <font>
      <sz val="8"/>
      <color theme="1"/>
      <name val="楷体"/>
      <charset val="134"/>
    </font>
    <font>
      <sz val="8"/>
      <color rgb="FFFF0000"/>
      <name val="Times New Roman"/>
      <charset val="134"/>
    </font>
    <font>
      <sz val="8"/>
      <color theme="1"/>
      <name val="楷体"/>
      <charset val="0"/>
    </font>
    <font>
      <sz val="8"/>
      <name val="Times New Roman"/>
      <charset val="0"/>
    </font>
    <font>
      <sz val="8"/>
      <color theme="1"/>
      <name val="Times New Roman"/>
      <charset val="0"/>
    </font>
    <font>
      <sz val="8"/>
      <color theme="1"/>
      <name val="Times New Roman"/>
      <charset val="134"/>
    </font>
    <font>
      <sz val="12"/>
      <name val="楷体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8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/>
      <right/>
      <top style="thin">
        <color auto="1"/>
      </top>
      <bottom/>
      <diagonal style="thin">
        <color auto="1"/>
      </diagonal>
    </border>
    <border diagonalDown="1">
      <left style="thin">
        <color auto="1"/>
      </left>
      <right/>
      <top/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  <border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Down="1">
      <left/>
      <right style="thin">
        <color auto="1"/>
      </right>
      <top/>
      <bottom/>
      <diagonal style="thin">
        <color auto="1"/>
      </diagonal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4" borderId="22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5" borderId="25" applyNumberFormat="0" applyAlignment="0" applyProtection="0">
      <alignment vertical="center"/>
    </xf>
    <xf numFmtId="0" fontId="46" fillId="6" borderId="26" applyNumberFormat="0" applyAlignment="0" applyProtection="0">
      <alignment vertical="center"/>
    </xf>
    <xf numFmtId="0" fontId="47" fillId="6" borderId="25" applyNumberFormat="0" applyAlignment="0" applyProtection="0">
      <alignment vertical="center"/>
    </xf>
    <xf numFmtId="0" fontId="48" fillId="7" borderId="27" applyNumberFormat="0" applyAlignment="0" applyProtection="0">
      <alignment vertical="center"/>
    </xf>
    <xf numFmtId="0" fontId="49" fillId="0" borderId="28" applyNumberFormat="0" applyFill="0" applyAlignment="0" applyProtection="0">
      <alignment vertical="center"/>
    </xf>
    <xf numFmtId="0" fontId="50" fillId="0" borderId="29" applyNumberFormat="0" applyFill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43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justify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49" fontId="5" fillId="0" borderId="1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10" fontId="4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justify" vertical="center"/>
    </xf>
    <xf numFmtId="0" fontId="9" fillId="0" borderId="0" xfId="0" applyFont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176" fontId="11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5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0" xfId="0" applyFont="1" applyFill="1">
      <alignment vertical="center"/>
    </xf>
    <xf numFmtId="0" fontId="13" fillId="0" borderId="0" xfId="0" applyFont="1" applyFill="1" applyProtection="1">
      <alignment vertical="center"/>
      <protection locked="0"/>
    </xf>
    <xf numFmtId="0" fontId="13" fillId="0" borderId="0" xfId="0" applyFont="1" applyFill="1" applyAlignment="1" applyProtection="1">
      <alignment vertical="center" wrapText="1"/>
      <protection locked="0"/>
    </xf>
    <xf numFmtId="0" fontId="14" fillId="0" borderId="0" xfId="0" applyFont="1" applyFill="1" applyAlignment="1" applyProtection="1">
      <alignment horizontal="left" vertical="center"/>
      <protection locked="0"/>
    </xf>
    <xf numFmtId="0" fontId="14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6" fillId="0" borderId="8" xfId="0" applyFont="1" applyFill="1" applyBorder="1" applyAlignment="1" applyProtection="1">
      <alignment horizontal="center" vertical="center" wrapText="1"/>
      <protection locked="0"/>
    </xf>
    <xf numFmtId="0" fontId="16" fillId="0" borderId="9" xfId="0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Fill="1" applyBorder="1" applyAlignment="1" applyProtection="1">
      <alignment horizontal="center" vertical="center" wrapText="1"/>
      <protection locked="0"/>
    </xf>
    <xf numFmtId="0" fontId="17" fillId="0" borderId="1" xfId="0" applyFont="1" applyFill="1" applyBorder="1" applyAlignment="1" applyProtection="1">
      <alignment horizontal="center" vertical="center" wrapText="1"/>
      <protection locked="0"/>
    </xf>
    <xf numFmtId="0" fontId="16" fillId="0" borderId="10" xfId="0" applyFont="1" applyFill="1" applyBorder="1" applyAlignment="1" applyProtection="1">
      <alignment horizontal="center" vertical="center" wrapText="1"/>
      <protection locked="0"/>
    </xf>
    <xf numFmtId="0" fontId="16" fillId="0" borderId="11" xfId="0" applyFont="1" applyFill="1" applyBorder="1" applyAlignment="1" applyProtection="1">
      <alignment horizontal="center" vertical="center" wrapText="1"/>
      <protection locked="0"/>
    </xf>
    <xf numFmtId="0" fontId="16" fillId="0" borderId="12" xfId="0" applyFont="1" applyFill="1" applyBorder="1" applyAlignment="1" applyProtection="1">
      <alignment horizontal="center" vertical="center" wrapText="1"/>
      <protection locked="0"/>
    </xf>
    <xf numFmtId="0" fontId="16" fillId="0" borderId="13" xfId="0" applyFont="1" applyFill="1" applyBorder="1" applyAlignment="1" applyProtection="1">
      <alignment horizontal="center" vertical="center" wrapText="1"/>
      <protection locked="0"/>
    </xf>
    <xf numFmtId="0" fontId="18" fillId="0" borderId="8" xfId="0" applyFont="1" applyFill="1" applyBorder="1" applyAlignment="1" applyProtection="1">
      <alignment horizontal="center" vertical="center" wrapText="1"/>
      <protection locked="0"/>
    </xf>
    <xf numFmtId="0" fontId="18" fillId="0" borderId="2" xfId="0" applyFont="1" applyFill="1" applyBorder="1" applyAlignment="1" applyProtection="1">
      <alignment horizontal="center" vertical="center" wrapText="1"/>
      <protection locked="0"/>
    </xf>
    <xf numFmtId="0" fontId="8" fillId="0" borderId="9" xfId="0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20" fillId="0" borderId="1" xfId="49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/>
    </xf>
    <xf numFmtId="0" fontId="18" fillId="0" borderId="10" xfId="0" applyFont="1" applyFill="1" applyBorder="1" applyAlignment="1" applyProtection="1">
      <alignment horizontal="center" vertical="center" wrapText="1"/>
      <protection locked="0"/>
    </xf>
    <xf numFmtId="0" fontId="18" fillId="0" borderId="3" xfId="0" applyFont="1" applyFill="1" applyBorder="1" applyAlignment="1" applyProtection="1">
      <alignment horizontal="center" vertical="center" wrapText="1"/>
      <protection locked="0"/>
    </xf>
    <xf numFmtId="0" fontId="8" fillId="0" borderId="1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1" xfId="0" applyFont="1" applyFill="1" applyBorder="1" applyAlignment="1" applyProtection="1">
      <alignment horizontal="center" vertical="center" wrapText="1"/>
      <protection locked="0"/>
    </xf>
    <xf numFmtId="0" fontId="20" fillId="0" borderId="1" xfId="0" applyNumberFormat="1" applyFont="1" applyFill="1" applyBorder="1" applyAlignment="1">
      <alignment horizontal="center" vertical="center" wrapText="1"/>
    </xf>
    <xf numFmtId="0" fontId="21" fillId="0" borderId="2" xfId="0" applyNumberFormat="1" applyFont="1" applyFill="1" applyBorder="1" applyAlignment="1">
      <alignment horizontal="center" vertical="center" wrapText="1"/>
    </xf>
    <xf numFmtId="0" fontId="22" fillId="0" borderId="2" xfId="0" applyNumberFormat="1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1" fillId="0" borderId="4" xfId="0" applyNumberFormat="1" applyFont="1" applyFill="1" applyBorder="1" applyAlignment="1">
      <alignment horizontal="center" vertical="center" wrapText="1"/>
    </xf>
    <xf numFmtId="0" fontId="22" fillId="0" borderId="4" xfId="0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5" fillId="0" borderId="2" xfId="0" applyFont="1" applyFill="1" applyBorder="1" applyAlignment="1" applyProtection="1">
      <alignment horizontal="center" vertical="center" wrapText="1"/>
      <protection locked="0"/>
    </xf>
    <xf numFmtId="0" fontId="24" fillId="0" borderId="1" xfId="0" applyNumberFormat="1" applyFont="1" applyFill="1" applyBorder="1" applyAlignment="1">
      <alignment horizontal="center" vertical="center" wrapText="1"/>
    </xf>
    <xf numFmtId="0" fontId="25" fillId="0" borderId="1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0" fontId="26" fillId="0" borderId="1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27" fillId="0" borderId="2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Fill="1" applyBorder="1" applyAlignment="1" applyProtection="1">
      <alignment horizontal="center" vertical="center" wrapText="1"/>
      <protection locked="0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 wrapText="1"/>
    </xf>
    <xf numFmtId="0" fontId="24" fillId="0" borderId="2" xfId="0" applyNumberFormat="1" applyFont="1" applyFill="1" applyBorder="1" applyAlignment="1">
      <alignment horizontal="center" vertical="center" wrapText="1"/>
    </xf>
    <xf numFmtId="0" fontId="19" fillId="0" borderId="2" xfId="0" applyNumberFormat="1" applyFont="1" applyFill="1" applyBorder="1" applyAlignment="1">
      <alignment horizontal="center" vertical="center" wrapText="1"/>
    </xf>
    <xf numFmtId="0" fontId="24" fillId="0" borderId="4" xfId="0" applyNumberFormat="1" applyFont="1" applyFill="1" applyBorder="1" applyAlignment="1">
      <alignment horizontal="center" vertical="center" wrapText="1"/>
    </xf>
    <xf numFmtId="0" fontId="19" fillId="0" borderId="4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11" fillId="0" borderId="1" xfId="0" applyNumberFormat="1" applyFont="1" applyFill="1" applyBorder="1" applyAlignment="1">
      <alignment horizontal="center" vertical="center" wrapText="1"/>
    </xf>
    <xf numFmtId="0" fontId="32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 applyProtection="1">
      <alignment vertical="center" wrapText="1"/>
      <protection locked="0"/>
    </xf>
    <xf numFmtId="49" fontId="7" fillId="0" borderId="5" xfId="0" applyNumberFormat="1" applyFont="1" applyFill="1" applyBorder="1" applyAlignment="1">
      <alignment horizontal="center" vertical="center" wrapText="1"/>
    </xf>
    <xf numFmtId="49" fontId="7" fillId="0" borderId="6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 applyProtection="1">
      <alignment vertical="center" wrapText="1"/>
      <protection locked="0"/>
    </xf>
    <xf numFmtId="0" fontId="8" fillId="0" borderId="7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 applyProtection="1">
      <alignment horizontal="center" vertical="center" wrapText="1"/>
      <protection locked="0"/>
    </xf>
    <xf numFmtId="0" fontId="5" fillId="0" borderId="16" xfId="0" applyFont="1" applyFill="1" applyBorder="1" applyAlignment="1" applyProtection="1">
      <alignment horizontal="center" vertical="center" wrapText="1"/>
      <protection locked="0"/>
    </xf>
    <xf numFmtId="0" fontId="24" fillId="0" borderId="9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 applyProtection="1">
      <alignment horizontal="center" vertical="center" wrapText="1"/>
      <protection locked="0"/>
    </xf>
    <xf numFmtId="0" fontId="5" fillId="0" borderId="18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Fill="1" applyBorder="1" applyAlignment="1">
      <alignment vertical="center" wrapText="1"/>
    </xf>
    <xf numFmtId="49" fontId="24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3" fillId="0" borderId="1" xfId="0" applyNumberFormat="1" applyFont="1" applyFill="1" applyBorder="1" applyAlignment="1">
      <alignment horizontal="center" vertical="center" wrapText="1"/>
    </xf>
    <xf numFmtId="0" fontId="33" fillId="0" borderId="2" xfId="0" applyNumberFormat="1" applyFont="1" applyFill="1" applyBorder="1" applyAlignment="1">
      <alignment horizontal="center" vertical="center" wrapText="1"/>
    </xf>
    <xf numFmtId="0" fontId="33" fillId="0" borderId="4" xfId="0" applyNumberFormat="1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vertical="center"/>
    </xf>
    <xf numFmtId="49" fontId="7" fillId="0" borderId="7" xfId="0" applyNumberFormat="1" applyFont="1" applyFill="1" applyBorder="1" applyAlignment="1">
      <alignment horizontal="center" vertical="center" wrapText="1"/>
    </xf>
    <xf numFmtId="0" fontId="5" fillId="0" borderId="19" xfId="0" applyFont="1" applyFill="1" applyBorder="1" applyAlignment="1" applyProtection="1">
      <alignment horizontal="center" vertical="center" wrapText="1"/>
      <protection locked="0"/>
    </xf>
    <xf numFmtId="0" fontId="5" fillId="0" borderId="20" xfId="0" applyFont="1" applyFill="1" applyBorder="1" applyAlignment="1" applyProtection="1">
      <alignment horizontal="center" vertical="center" wrapText="1"/>
      <protection locked="0"/>
    </xf>
    <xf numFmtId="0" fontId="35" fillId="0" borderId="0" xfId="0" applyFont="1" applyFill="1">
      <alignment vertical="center"/>
    </xf>
    <xf numFmtId="0" fontId="18" fillId="0" borderId="7" xfId="0" applyFont="1" applyFill="1" applyBorder="1" applyAlignment="1">
      <alignment horizontal="center" vertical="center" wrapText="1"/>
    </xf>
    <xf numFmtId="0" fontId="30" fillId="0" borderId="6" xfId="0" applyFont="1" applyFill="1" applyBorder="1">
      <alignment vertical="center"/>
    </xf>
    <xf numFmtId="0" fontId="30" fillId="0" borderId="6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 applyProtection="1">
      <alignment horizontal="center" vertical="center" wrapText="1"/>
    </xf>
    <xf numFmtId="0" fontId="18" fillId="0" borderId="12" xfId="0" applyFont="1" applyFill="1" applyBorder="1" applyAlignment="1">
      <alignment horizontal="center" vertical="center" wrapText="1"/>
    </xf>
    <xf numFmtId="0" fontId="18" fillId="0" borderId="21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 wrapText="1"/>
    </xf>
    <xf numFmtId="0" fontId="36" fillId="0" borderId="1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106"/>
  <sheetViews>
    <sheetView tabSelected="1" workbookViewId="0">
      <pane ySplit="5" topLeftCell="A64" activePane="bottomLeft" state="frozen"/>
      <selection/>
      <selection pane="bottomLeft" activeCell="U66" sqref="U66"/>
    </sheetView>
  </sheetViews>
  <sheetFormatPr defaultColWidth="9" defaultRowHeight="14.4"/>
  <cols>
    <col min="1" max="1" width="5" style="37" customWidth="1"/>
    <col min="2" max="2" width="12.5462962962963" style="38" customWidth="1"/>
    <col min="3" max="3" width="9.88888888888889" style="37" customWidth="1"/>
    <col min="4" max="4" width="23.4722222222222" style="37" customWidth="1"/>
    <col min="5" max="5" width="30.4259259259259" style="37" customWidth="1"/>
    <col min="6" max="6" width="5.36111111111111" style="37" customWidth="1"/>
    <col min="7" max="7" width="6" style="37" customWidth="1"/>
    <col min="8" max="8" width="5.87037037037037" style="37" customWidth="1"/>
    <col min="9" max="9" width="5.87962962962963" style="37" customWidth="1"/>
    <col min="10" max="17" width="3.62962962962963" style="37" customWidth="1"/>
    <col min="18" max="18" width="30.1851851851852" style="37" customWidth="1"/>
    <col min="19" max="16382" width="9" style="37"/>
    <col min="16383" max="16384" width="9" style="36"/>
  </cols>
  <sheetData>
    <row r="1" ht="22" customHeight="1" spans="1:17">
      <c r="A1" s="39" t="s">
        <v>0</v>
      </c>
      <c r="B1" s="40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ht="21" customHeight="1" spans="1:17">
      <c r="A2" s="41" t="s">
        <v>1</v>
      </c>
      <c r="B2" s="42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ht="15" customHeight="1" spans="1:17">
      <c r="A3" s="43" t="s">
        <v>2</v>
      </c>
      <c r="B3" s="44"/>
      <c r="C3" s="45" t="s">
        <v>3</v>
      </c>
      <c r="D3" s="45" t="s">
        <v>4</v>
      </c>
      <c r="E3" s="46" t="s">
        <v>5</v>
      </c>
      <c r="F3" s="45" t="s">
        <v>6</v>
      </c>
      <c r="G3" s="45"/>
      <c r="H3" s="45"/>
      <c r="I3" s="45"/>
      <c r="J3" s="45" t="s">
        <v>7</v>
      </c>
      <c r="K3" s="45"/>
      <c r="L3" s="45"/>
      <c r="M3" s="45"/>
      <c r="N3" s="45"/>
      <c r="O3" s="45"/>
      <c r="P3" s="45"/>
      <c r="Q3" s="45"/>
    </row>
    <row r="4" ht="15" customHeight="1" spans="1:17">
      <c r="A4" s="47"/>
      <c r="B4" s="48"/>
      <c r="C4" s="45"/>
      <c r="D4" s="45"/>
      <c r="E4" s="46"/>
      <c r="F4" s="45" t="s">
        <v>8</v>
      </c>
      <c r="G4" s="45" t="s">
        <v>9</v>
      </c>
      <c r="H4" s="45" t="s">
        <v>10</v>
      </c>
      <c r="I4" s="45" t="s">
        <v>11</v>
      </c>
      <c r="J4" s="45" t="s">
        <v>12</v>
      </c>
      <c r="K4" s="45"/>
      <c r="L4" s="45" t="s">
        <v>13</v>
      </c>
      <c r="M4" s="45"/>
      <c r="N4" s="45" t="s">
        <v>14</v>
      </c>
      <c r="O4" s="45"/>
      <c r="P4" s="45" t="s">
        <v>15</v>
      </c>
      <c r="Q4" s="45"/>
    </row>
    <row r="5" ht="15" customHeight="1" spans="1:17">
      <c r="A5" s="49"/>
      <c r="B5" s="50"/>
      <c r="C5" s="45"/>
      <c r="D5" s="45"/>
      <c r="E5" s="46"/>
      <c r="F5" s="45"/>
      <c r="G5" s="45"/>
      <c r="H5" s="45"/>
      <c r="I5" s="45"/>
      <c r="J5" s="45">
        <v>1</v>
      </c>
      <c r="K5" s="45">
        <v>2</v>
      </c>
      <c r="L5" s="45">
        <v>3</v>
      </c>
      <c r="M5" s="45">
        <v>4</v>
      </c>
      <c r="N5" s="45">
        <v>5</v>
      </c>
      <c r="O5" s="45">
        <v>6</v>
      </c>
      <c r="P5" s="45">
        <v>7</v>
      </c>
      <c r="Q5" s="45">
        <v>8</v>
      </c>
    </row>
    <row r="6" ht="30" customHeight="1" spans="1:17">
      <c r="A6" s="51" t="s">
        <v>16</v>
      </c>
      <c r="B6" s="52" t="s">
        <v>17</v>
      </c>
      <c r="C6" s="53">
        <v>47</v>
      </c>
      <c r="D6" s="54" t="s">
        <v>18</v>
      </c>
      <c r="E6" s="55" t="s">
        <v>19</v>
      </c>
      <c r="F6" s="56">
        <v>3</v>
      </c>
      <c r="G6" s="56">
        <v>54</v>
      </c>
      <c r="H6" s="56">
        <v>54</v>
      </c>
      <c r="I6" s="56">
        <v>0</v>
      </c>
      <c r="J6" s="56">
        <v>3</v>
      </c>
      <c r="K6" s="56"/>
      <c r="L6" s="56"/>
      <c r="M6" s="56"/>
      <c r="N6" s="56"/>
      <c r="O6" s="56"/>
      <c r="P6" s="56"/>
      <c r="Q6" s="115"/>
    </row>
    <row r="7" ht="30" customHeight="1" spans="1:17">
      <c r="A7" s="57"/>
      <c r="B7" s="58"/>
      <c r="C7" s="59"/>
      <c r="D7" s="54" t="s">
        <v>20</v>
      </c>
      <c r="E7" s="55" t="s">
        <v>21</v>
      </c>
      <c r="F7" s="56">
        <v>3</v>
      </c>
      <c r="G7" s="56">
        <v>54</v>
      </c>
      <c r="H7" s="56">
        <v>54</v>
      </c>
      <c r="I7" s="56">
        <v>0</v>
      </c>
      <c r="J7" s="56"/>
      <c r="K7" s="56">
        <v>3</v>
      </c>
      <c r="L7" s="56"/>
      <c r="M7" s="56"/>
      <c r="N7" s="56"/>
      <c r="O7" s="56"/>
      <c r="P7" s="56"/>
      <c r="Q7" s="115"/>
    </row>
    <row r="8" spans="1:17">
      <c r="A8" s="57"/>
      <c r="B8" s="58"/>
      <c r="C8" s="59"/>
      <c r="D8" s="54" t="s">
        <v>22</v>
      </c>
      <c r="E8" s="55" t="s">
        <v>23</v>
      </c>
      <c r="F8" s="56">
        <v>3</v>
      </c>
      <c r="G8" s="56">
        <v>54</v>
      </c>
      <c r="H8" s="56">
        <v>54</v>
      </c>
      <c r="I8" s="56">
        <v>0</v>
      </c>
      <c r="J8" s="56"/>
      <c r="K8" s="56"/>
      <c r="L8" s="56">
        <v>3</v>
      </c>
      <c r="M8" s="56"/>
      <c r="N8" s="56"/>
      <c r="O8" s="56"/>
      <c r="P8" s="56"/>
      <c r="Q8" s="115"/>
    </row>
    <row r="9" ht="27" customHeight="1" spans="1:17">
      <c r="A9" s="57"/>
      <c r="B9" s="58"/>
      <c r="C9" s="59"/>
      <c r="D9" s="54" t="s">
        <v>24</v>
      </c>
      <c r="E9" s="55" t="s">
        <v>25</v>
      </c>
      <c r="F9" s="56">
        <v>3</v>
      </c>
      <c r="G9" s="56">
        <v>54</v>
      </c>
      <c r="H9" s="56">
        <v>54</v>
      </c>
      <c r="I9" s="56">
        <v>0</v>
      </c>
      <c r="J9" s="56"/>
      <c r="K9" s="56"/>
      <c r="L9" s="56"/>
      <c r="M9" s="56">
        <v>3</v>
      </c>
      <c r="N9" s="56"/>
      <c r="O9" s="56"/>
      <c r="P9" s="56"/>
      <c r="Q9" s="115"/>
    </row>
    <row r="10" ht="31" customHeight="1" spans="1:17">
      <c r="A10" s="57"/>
      <c r="B10" s="52" t="s">
        <v>26</v>
      </c>
      <c r="C10" s="59"/>
      <c r="D10" s="60" t="s">
        <v>27</v>
      </c>
      <c r="E10" s="61" t="s">
        <v>28</v>
      </c>
      <c r="F10" s="60">
        <v>1</v>
      </c>
      <c r="G10" s="60">
        <v>36</v>
      </c>
      <c r="H10" s="60">
        <v>4</v>
      </c>
      <c r="I10" s="60">
        <v>32</v>
      </c>
      <c r="J10" s="60">
        <v>1</v>
      </c>
      <c r="K10" s="60"/>
      <c r="L10" s="60"/>
      <c r="M10" s="60"/>
      <c r="N10" s="103"/>
      <c r="O10" s="103"/>
      <c r="P10" s="103"/>
      <c r="Q10" s="124"/>
    </row>
    <row r="11" ht="15" customHeight="1" spans="1:17">
      <c r="A11" s="57"/>
      <c r="B11" s="58"/>
      <c r="C11" s="59"/>
      <c r="D11" s="60" t="s">
        <v>29</v>
      </c>
      <c r="E11" s="61" t="s">
        <v>30</v>
      </c>
      <c r="F11" s="60">
        <v>1</v>
      </c>
      <c r="G11" s="60">
        <v>36</v>
      </c>
      <c r="H11" s="60">
        <v>4</v>
      </c>
      <c r="I11" s="60">
        <v>32</v>
      </c>
      <c r="J11" s="60"/>
      <c r="K11" s="60">
        <v>1</v>
      </c>
      <c r="L11" s="60"/>
      <c r="M11" s="60"/>
      <c r="N11" s="103"/>
      <c r="O11" s="103"/>
      <c r="P11" s="103"/>
      <c r="Q11" s="124"/>
    </row>
    <row r="12" ht="15" customHeight="1" spans="1:17">
      <c r="A12" s="57"/>
      <c r="B12" s="58"/>
      <c r="C12" s="59"/>
      <c r="D12" s="60" t="s">
        <v>31</v>
      </c>
      <c r="E12" s="61" t="s">
        <v>32</v>
      </c>
      <c r="F12" s="60">
        <v>1</v>
      </c>
      <c r="G12" s="60">
        <v>36</v>
      </c>
      <c r="H12" s="60">
        <v>4</v>
      </c>
      <c r="I12" s="60">
        <v>32</v>
      </c>
      <c r="J12" s="60"/>
      <c r="K12" s="60"/>
      <c r="L12" s="60">
        <v>1</v>
      </c>
      <c r="M12" s="60"/>
      <c r="N12" s="103"/>
      <c r="O12" s="103"/>
      <c r="P12" s="103"/>
      <c r="Q12" s="124"/>
    </row>
    <row r="13" ht="15" customHeight="1" spans="1:17">
      <c r="A13" s="57"/>
      <c r="B13" s="62"/>
      <c r="C13" s="59"/>
      <c r="D13" s="60" t="s">
        <v>33</v>
      </c>
      <c r="E13" s="61" t="s">
        <v>34</v>
      </c>
      <c r="F13" s="60">
        <v>1</v>
      </c>
      <c r="G13" s="60">
        <v>36</v>
      </c>
      <c r="H13" s="60">
        <v>4</v>
      </c>
      <c r="I13" s="60">
        <v>32</v>
      </c>
      <c r="J13" s="60"/>
      <c r="K13" s="60"/>
      <c r="L13" s="60"/>
      <c r="M13" s="60">
        <v>1</v>
      </c>
      <c r="N13" s="103"/>
      <c r="O13" s="103"/>
      <c r="P13" s="103"/>
      <c r="Q13" s="124"/>
    </row>
    <row r="14" ht="53" customHeight="1" spans="1:17">
      <c r="A14" s="57"/>
      <c r="B14" s="63" t="s">
        <v>35</v>
      </c>
      <c r="C14" s="59"/>
      <c r="D14" s="54" t="s">
        <v>36</v>
      </c>
      <c r="E14" s="64" t="s">
        <v>37</v>
      </c>
      <c r="F14" s="54">
        <v>3</v>
      </c>
      <c r="G14" s="54">
        <v>54</v>
      </c>
      <c r="H14" s="54">
        <v>54</v>
      </c>
      <c r="I14" s="54">
        <v>0</v>
      </c>
      <c r="J14" s="54"/>
      <c r="K14" s="54">
        <v>3</v>
      </c>
      <c r="L14" s="54"/>
      <c r="M14" s="54"/>
      <c r="N14" s="54"/>
      <c r="O14" s="54"/>
      <c r="P14" s="54"/>
      <c r="Q14" s="125"/>
    </row>
    <row r="15" ht="34" customHeight="1" spans="1:17">
      <c r="A15" s="57"/>
      <c r="B15" s="63"/>
      <c r="C15" s="59"/>
      <c r="D15" s="54" t="s">
        <v>38</v>
      </c>
      <c r="E15" s="64" t="s">
        <v>39</v>
      </c>
      <c r="F15" s="54">
        <v>3</v>
      </c>
      <c r="G15" s="54">
        <v>54</v>
      </c>
      <c r="H15" s="54">
        <v>54</v>
      </c>
      <c r="I15" s="54">
        <v>0</v>
      </c>
      <c r="J15" s="54"/>
      <c r="K15" s="54">
        <v>3</v>
      </c>
      <c r="L15" s="54"/>
      <c r="M15" s="54"/>
      <c r="N15" s="54"/>
      <c r="O15" s="54"/>
      <c r="P15" s="54"/>
      <c r="Q15" s="125"/>
    </row>
    <row r="16" ht="43" customHeight="1" spans="1:17">
      <c r="A16" s="57"/>
      <c r="B16" s="63"/>
      <c r="C16" s="59"/>
      <c r="D16" s="54" t="s">
        <v>40</v>
      </c>
      <c r="E16" s="64" t="s">
        <v>41</v>
      </c>
      <c r="F16" s="54">
        <v>3</v>
      </c>
      <c r="G16" s="54">
        <v>54</v>
      </c>
      <c r="H16" s="54">
        <v>54</v>
      </c>
      <c r="I16" s="54">
        <v>0</v>
      </c>
      <c r="J16" s="54"/>
      <c r="K16" s="54"/>
      <c r="L16" s="54">
        <v>3</v>
      </c>
      <c r="M16" s="54"/>
      <c r="N16" s="54"/>
      <c r="O16" s="54"/>
      <c r="P16" s="54"/>
      <c r="Q16" s="125"/>
    </row>
    <row r="17" ht="15" customHeight="1" spans="1:17">
      <c r="A17" s="57"/>
      <c r="B17" s="63"/>
      <c r="C17" s="59"/>
      <c r="D17" s="65" t="s">
        <v>42</v>
      </c>
      <c r="E17" s="66" t="s">
        <v>43</v>
      </c>
      <c r="F17" s="67">
        <v>3</v>
      </c>
      <c r="G17" s="68">
        <v>54</v>
      </c>
      <c r="H17" s="68">
        <v>36</v>
      </c>
      <c r="I17" s="65">
        <v>18</v>
      </c>
      <c r="J17" s="104"/>
      <c r="K17" s="104"/>
      <c r="L17" s="104">
        <v>3</v>
      </c>
      <c r="M17" s="105"/>
      <c r="N17" s="105"/>
      <c r="O17" s="105"/>
      <c r="P17" s="105"/>
      <c r="Q17" s="126"/>
    </row>
    <row r="18" ht="45" customHeight="1" spans="1:17">
      <c r="A18" s="57"/>
      <c r="B18" s="63"/>
      <c r="C18" s="59"/>
      <c r="D18" s="69"/>
      <c r="E18" s="70"/>
      <c r="F18" s="71"/>
      <c r="G18" s="72"/>
      <c r="H18" s="72"/>
      <c r="I18" s="69"/>
      <c r="J18" s="106"/>
      <c r="K18" s="106"/>
      <c r="L18" s="106"/>
      <c r="M18" s="107"/>
      <c r="N18" s="107"/>
      <c r="O18" s="107"/>
      <c r="P18" s="107"/>
      <c r="Q18" s="127"/>
    </row>
    <row r="19" ht="15" customHeight="1" spans="1:17">
      <c r="A19" s="57"/>
      <c r="B19" s="63"/>
      <c r="C19" s="59"/>
      <c r="D19" s="54" t="s">
        <v>44</v>
      </c>
      <c r="E19" s="64" t="s">
        <v>45</v>
      </c>
      <c r="F19" s="54">
        <v>3</v>
      </c>
      <c r="G19" s="54">
        <v>54</v>
      </c>
      <c r="H19" s="54">
        <v>54</v>
      </c>
      <c r="I19" s="54">
        <v>0</v>
      </c>
      <c r="J19" s="54">
        <v>3</v>
      </c>
      <c r="K19" s="54"/>
      <c r="L19" s="54"/>
      <c r="M19" s="54"/>
      <c r="N19" s="54"/>
      <c r="O19" s="54"/>
      <c r="P19" s="54"/>
      <c r="Q19" s="125"/>
    </row>
    <row r="20" ht="15" customHeight="1" spans="1:17">
      <c r="A20" s="57"/>
      <c r="B20" s="63"/>
      <c r="C20" s="59"/>
      <c r="D20" s="54" t="s">
        <v>46</v>
      </c>
      <c r="E20" s="64" t="s">
        <v>47</v>
      </c>
      <c r="F20" s="54">
        <v>2</v>
      </c>
      <c r="G20" s="54">
        <v>36</v>
      </c>
      <c r="H20" s="54">
        <v>36</v>
      </c>
      <c r="I20" s="54">
        <v>0</v>
      </c>
      <c r="J20" s="54"/>
      <c r="K20" s="54"/>
      <c r="L20" s="54"/>
      <c r="M20" s="54"/>
      <c r="N20" s="54">
        <v>2</v>
      </c>
      <c r="O20" s="54"/>
      <c r="P20" s="54"/>
      <c r="Q20" s="125"/>
    </row>
    <row r="21" spans="1:17">
      <c r="A21" s="57"/>
      <c r="B21" s="63"/>
      <c r="C21" s="59"/>
      <c r="D21" s="54" t="s">
        <v>48</v>
      </c>
      <c r="E21" s="64" t="s">
        <v>49</v>
      </c>
      <c r="F21" s="54">
        <v>1</v>
      </c>
      <c r="G21" s="54">
        <v>18</v>
      </c>
      <c r="H21" s="54">
        <v>18</v>
      </c>
      <c r="I21" s="54">
        <v>0</v>
      </c>
      <c r="J21" s="54"/>
      <c r="K21" s="54"/>
      <c r="L21" s="54"/>
      <c r="M21" s="54">
        <v>1</v>
      </c>
      <c r="N21" s="54"/>
      <c r="O21" s="108"/>
      <c r="P21" s="108"/>
      <c r="Q21" s="128"/>
    </row>
    <row r="22" ht="40" customHeight="1" spans="1:17">
      <c r="A22" s="57"/>
      <c r="B22" s="73" t="s">
        <v>50</v>
      </c>
      <c r="C22" s="59"/>
      <c r="D22" s="74" t="s">
        <v>51</v>
      </c>
      <c r="E22" s="75"/>
      <c r="F22" s="74">
        <v>1</v>
      </c>
      <c r="G22" s="74">
        <v>18</v>
      </c>
      <c r="H22" s="74">
        <v>18</v>
      </c>
      <c r="I22" s="74">
        <v>0</v>
      </c>
      <c r="J22" s="109">
        <v>1</v>
      </c>
      <c r="K22" s="109"/>
      <c r="L22" s="109"/>
      <c r="M22" s="109"/>
      <c r="N22" s="110"/>
      <c r="O22" s="111"/>
      <c r="P22" s="111"/>
      <c r="Q22" s="111"/>
    </row>
    <row r="23" spans="1:17">
      <c r="A23" s="57"/>
      <c r="B23" s="76"/>
      <c r="C23" s="59"/>
      <c r="D23" s="74" t="s">
        <v>52</v>
      </c>
      <c r="E23" s="75"/>
      <c r="F23" s="74">
        <v>1</v>
      </c>
      <c r="G23" s="74">
        <v>18</v>
      </c>
      <c r="H23" s="74">
        <v>18</v>
      </c>
      <c r="I23" s="74">
        <v>0</v>
      </c>
      <c r="J23" s="109"/>
      <c r="K23" s="109">
        <v>1</v>
      </c>
      <c r="L23" s="109"/>
      <c r="M23" s="109"/>
      <c r="N23" s="110"/>
      <c r="O23" s="111"/>
      <c r="P23" s="111"/>
      <c r="Q23" s="111"/>
    </row>
    <row r="24" s="36" customFormat="1" ht="74" customHeight="1" spans="1:16382">
      <c r="A24" s="57"/>
      <c r="B24" s="76"/>
      <c r="C24" s="59"/>
      <c r="D24" s="74" t="s">
        <v>53</v>
      </c>
      <c r="E24" s="75"/>
      <c r="F24" s="74">
        <v>1</v>
      </c>
      <c r="G24" s="74">
        <v>18</v>
      </c>
      <c r="H24" s="74">
        <v>18</v>
      </c>
      <c r="I24" s="74">
        <v>0</v>
      </c>
      <c r="J24" s="109"/>
      <c r="K24" s="109"/>
      <c r="L24" s="109">
        <v>1</v>
      </c>
      <c r="M24" s="109"/>
      <c r="N24" s="110"/>
      <c r="O24" s="111"/>
      <c r="P24" s="111"/>
      <c r="Q24" s="111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37"/>
      <c r="EV24" s="37"/>
      <c r="EW24" s="37"/>
      <c r="EX24" s="37"/>
      <c r="EY24" s="37"/>
      <c r="EZ24" s="37"/>
      <c r="FA24" s="37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  <c r="GB24" s="37"/>
      <c r="GC24" s="37"/>
      <c r="GD24" s="37"/>
      <c r="GE24" s="37"/>
      <c r="GF24" s="37"/>
      <c r="GG24" s="37"/>
      <c r="GH24" s="37"/>
      <c r="GI24" s="37"/>
      <c r="GJ24" s="37"/>
      <c r="GK24" s="37"/>
      <c r="GL24" s="37"/>
      <c r="GM24" s="37"/>
      <c r="GN24" s="37"/>
      <c r="GO24" s="37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  <c r="HS24" s="37"/>
      <c r="HT24" s="37"/>
      <c r="HU24" s="37"/>
      <c r="HV24" s="37"/>
      <c r="HW24" s="37"/>
      <c r="HX24" s="37"/>
      <c r="HY24" s="37"/>
      <c r="HZ24" s="37"/>
      <c r="IA24" s="37"/>
      <c r="IB24" s="37"/>
      <c r="IC24" s="37"/>
      <c r="ID24" s="37"/>
      <c r="IE24" s="37"/>
      <c r="IF24" s="37"/>
      <c r="IG24" s="37"/>
      <c r="IH24" s="37"/>
      <c r="II24" s="37"/>
      <c r="IJ24" s="37"/>
      <c r="IK24" s="37"/>
      <c r="IL24" s="37"/>
      <c r="IM24" s="37"/>
      <c r="IN24" s="37"/>
      <c r="IO24" s="37"/>
      <c r="IP24" s="37"/>
      <c r="IQ24" s="37"/>
      <c r="IR24" s="37"/>
      <c r="IS24" s="37"/>
      <c r="IT24" s="37"/>
      <c r="IU24" s="37"/>
      <c r="IV24" s="37"/>
      <c r="IW24" s="37"/>
      <c r="IX24" s="37"/>
      <c r="IY24" s="37"/>
      <c r="IZ24" s="37"/>
      <c r="JA24" s="37"/>
      <c r="JB24" s="37"/>
      <c r="JC24" s="37"/>
      <c r="JD24" s="37"/>
      <c r="JE24" s="37"/>
      <c r="JF24" s="37"/>
      <c r="JG24" s="37"/>
      <c r="JH24" s="37"/>
      <c r="JI24" s="37"/>
      <c r="JJ24" s="37"/>
      <c r="JK24" s="37"/>
      <c r="JL24" s="37"/>
      <c r="JM24" s="37"/>
      <c r="JN24" s="37"/>
      <c r="JO24" s="37"/>
      <c r="JP24" s="37"/>
      <c r="JQ24" s="37"/>
      <c r="JR24" s="37"/>
      <c r="JS24" s="37"/>
      <c r="JT24" s="37"/>
      <c r="JU24" s="37"/>
      <c r="JV24" s="37"/>
      <c r="JW24" s="37"/>
      <c r="JX24" s="37"/>
      <c r="JY24" s="37"/>
      <c r="JZ24" s="37"/>
      <c r="KA24" s="37"/>
      <c r="KB24" s="37"/>
      <c r="KC24" s="37"/>
      <c r="KD24" s="37"/>
      <c r="KE24" s="37"/>
      <c r="KF24" s="37"/>
      <c r="KG24" s="37"/>
      <c r="KH24" s="37"/>
      <c r="KI24" s="37"/>
      <c r="KJ24" s="37"/>
      <c r="KK24" s="37"/>
      <c r="KL24" s="37"/>
      <c r="KM24" s="37"/>
      <c r="KN24" s="37"/>
      <c r="KO24" s="37"/>
      <c r="KP24" s="37"/>
      <c r="KQ24" s="37"/>
      <c r="KR24" s="37"/>
      <c r="KS24" s="37"/>
      <c r="KT24" s="37"/>
      <c r="KU24" s="37"/>
      <c r="KV24" s="37"/>
      <c r="KW24" s="37"/>
      <c r="KX24" s="37"/>
      <c r="KY24" s="37"/>
      <c r="KZ24" s="37"/>
      <c r="LA24" s="37"/>
      <c r="LB24" s="37"/>
      <c r="LC24" s="37"/>
      <c r="LD24" s="37"/>
      <c r="LE24" s="37"/>
      <c r="LF24" s="37"/>
      <c r="LG24" s="37"/>
      <c r="LH24" s="37"/>
      <c r="LI24" s="37"/>
      <c r="LJ24" s="37"/>
      <c r="LK24" s="37"/>
      <c r="LL24" s="37"/>
      <c r="LM24" s="37"/>
      <c r="LN24" s="37"/>
      <c r="LO24" s="37"/>
      <c r="LP24" s="37"/>
      <c r="LQ24" s="37"/>
      <c r="LR24" s="37"/>
      <c r="LS24" s="37"/>
      <c r="LT24" s="37"/>
      <c r="LU24" s="37"/>
      <c r="LV24" s="37"/>
      <c r="LW24" s="37"/>
      <c r="LX24" s="37"/>
      <c r="LY24" s="37"/>
      <c r="LZ24" s="37"/>
      <c r="MA24" s="37"/>
      <c r="MB24" s="37"/>
      <c r="MC24" s="37"/>
      <c r="MD24" s="37"/>
      <c r="ME24" s="37"/>
      <c r="MF24" s="37"/>
      <c r="MG24" s="37"/>
      <c r="MH24" s="37"/>
      <c r="MI24" s="37"/>
      <c r="MJ24" s="37"/>
      <c r="MK24" s="37"/>
      <c r="ML24" s="37"/>
      <c r="MM24" s="37"/>
      <c r="MN24" s="37"/>
      <c r="MO24" s="37"/>
      <c r="MP24" s="37"/>
      <c r="MQ24" s="37"/>
      <c r="MR24" s="37"/>
      <c r="MS24" s="37"/>
      <c r="MT24" s="37"/>
      <c r="MU24" s="37"/>
      <c r="MV24" s="37"/>
      <c r="MW24" s="37"/>
      <c r="MX24" s="37"/>
      <c r="MY24" s="37"/>
      <c r="MZ24" s="37"/>
      <c r="NA24" s="37"/>
      <c r="NB24" s="37"/>
      <c r="NC24" s="37"/>
      <c r="ND24" s="37"/>
      <c r="NE24" s="37"/>
      <c r="NF24" s="37"/>
      <c r="NG24" s="37"/>
      <c r="NH24" s="37"/>
      <c r="NI24" s="37"/>
      <c r="NJ24" s="37"/>
      <c r="NK24" s="37"/>
      <c r="NL24" s="37"/>
      <c r="NM24" s="37"/>
      <c r="NN24" s="37"/>
      <c r="NO24" s="37"/>
      <c r="NP24" s="37"/>
      <c r="NQ24" s="37"/>
      <c r="NR24" s="37"/>
      <c r="NS24" s="37"/>
      <c r="NT24" s="37"/>
      <c r="NU24" s="37"/>
      <c r="NV24" s="37"/>
      <c r="NW24" s="37"/>
      <c r="NX24" s="37"/>
      <c r="NY24" s="37"/>
      <c r="NZ24" s="37"/>
      <c r="OA24" s="37"/>
      <c r="OB24" s="37"/>
      <c r="OC24" s="37"/>
      <c r="OD24" s="37"/>
      <c r="OE24" s="37"/>
      <c r="OF24" s="37"/>
      <c r="OG24" s="37"/>
      <c r="OH24" s="37"/>
      <c r="OI24" s="37"/>
      <c r="OJ24" s="37"/>
      <c r="OK24" s="37"/>
      <c r="OL24" s="37"/>
      <c r="OM24" s="37"/>
      <c r="ON24" s="37"/>
      <c r="OO24" s="37"/>
      <c r="OP24" s="37"/>
      <c r="OQ24" s="37"/>
      <c r="OR24" s="37"/>
      <c r="OS24" s="37"/>
      <c r="OT24" s="37"/>
      <c r="OU24" s="37"/>
      <c r="OV24" s="37"/>
      <c r="OW24" s="37"/>
      <c r="OX24" s="37"/>
      <c r="OY24" s="37"/>
      <c r="OZ24" s="37"/>
      <c r="PA24" s="37"/>
      <c r="PB24" s="37"/>
      <c r="PC24" s="37"/>
      <c r="PD24" s="37"/>
      <c r="PE24" s="37"/>
      <c r="PF24" s="37"/>
      <c r="PG24" s="37"/>
      <c r="PH24" s="37"/>
      <c r="PI24" s="37"/>
      <c r="PJ24" s="37"/>
      <c r="PK24" s="37"/>
      <c r="PL24" s="37"/>
      <c r="PM24" s="37"/>
      <c r="PN24" s="37"/>
      <c r="PO24" s="37"/>
      <c r="PP24" s="37"/>
      <c r="PQ24" s="37"/>
      <c r="PR24" s="37"/>
      <c r="PS24" s="37"/>
      <c r="PT24" s="37"/>
      <c r="PU24" s="37"/>
      <c r="PV24" s="37"/>
      <c r="PW24" s="37"/>
      <c r="PX24" s="37"/>
      <c r="PY24" s="37"/>
      <c r="PZ24" s="37"/>
      <c r="QA24" s="37"/>
      <c r="QB24" s="37"/>
      <c r="QC24" s="37"/>
      <c r="QD24" s="37"/>
      <c r="QE24" s="37"/>
      <c r="QF24" s="37"/>
      <c r="QG24" s="37"/>
      <c r="QH24" s="37"/>
      <c r="QI24" s="37"/>
      <c r="QJ24" s="37"/>
      <c r="QK24" s="37"/>
      <c r="QL24" s="37"/>
      <c r="QM24" s="37"/>
      <c r="QN24" s="37"/>
      <c r="QO24" s="37"/>
      <c r="QP24" s="37"/>
      <c r="QQ24" s="37"/>
      <c r="QR24" s="37"/>
      <c r="QS24" s="37"/>
      <c r="QT24" s="37"/>
      <c r="QU24" s="37"/>
      <c r="QV24" s="37"/>
      <c r="QW24" s="37"/>
      <c r="QX24" s="37"/>
      <c r="QY24" s="37"/>
      <c r="QZ24" s="37"/>
      <c r="RA24" s="37"/>
      <c r="RB24" s="37"/>
      <c r="RC24" s="37"/>
      <c r="RD24" s="37"/>
      <c r="RE24" s="37"/>
      <c r="RF24" s="37"/>
      <c r="RG24" s="37"/>
      <c r="RH24" s="37"/>
      <c r="RI24" s="37"/>
      <c r="RJ24" s="37"/>
      <c r="RK24" s="37"/>
      <c r="RL24" s="37"/>
      <c r="RM24" s="37"/>
      <c r="RN24" s="37"/>
      <c r="RO24" s="37"/>
      <c r="RP24" s="37"/>
      <c r="RQ24" s="37"/>
      <c r="RR24" s="37"/>
      <c r="RS24" s="37"/>
      <c r="RT24" s="37"/>
      <c r="RU24" s="37"/>
      <c r="RV24" s="37"/>
      <c r="RW24" s="37"/>
      <c r="RX24" s="37"/>
      <c r="RY24" s="37"/>
      <c r="RZ24" s="37"/>
      <c r="SA24" s="37"/>
      <c r="SB24" s="37"/>
      <c r="SC24" s="37"/>
      <c r="SD24" s="37"/>
      <c r="SE24" s="37"/>
      <c r="SF24" s="37"/>
      <c r="SG24" s="37"/>
      <c r="SH24" s="37"/>
      <c r="SI24" s="37"/>
      <c r="SJ24" s="37"/>
      <c r="SK24" s="37"/>
      <c r="SL24" s="37"/>
      <c r="SM24" s="37"/>
      <c r="SN24" s="37"/>
      <c r="SO24" s="37"/>
      <c r="SP24" s="37"/>
      <c r="SQ24" s="37"/>
      <c r="SR24" s="37"/>
      <c r="SS24" s="37"/>
      <c r="ST24" s="37"/>
      <c r="SU24" s="37"/>
      <c r="SV24" s="37"/>
      <c r="SW24" s="37"/>
      <c r="SX24" s="37"/>
      <c r="SY24" s="37"/>
      <c r="SZ24" s="37"/>
      <c r="TA24" s="37"/>
      <c r="TB24" s="37"/>
      <c r="TC24" s="37"/>
      <c r="TD24" s="37"/>
      <c r="TE24" s="37"/>
      <c r="TF24" s="37"/>
      <c r="TG24" s="37"/>
      <c r="TH24" s="37"/>
      <c r="TI24" s="37"/>
      <c r="TJ24" s="37"/>
      <c r="TK24" s="37"/>
      <c r="TL24" s="37"/>
      <c r="TM24" s="37"/>
      <c r="TN24" s="37"/>
      <c r="TO24" s="37"/>
      <c r="TP24" s="37"/>
      <c r="TQ24" s="37"/>
      <c r="TR24" s="37"/>
      <c r="TS24" s="37"/>
      <c r="TT24" s="37"/>
      <c r="TU24" s="37"/>
      <c r="TV24" s="37"/>
      <c r="TW24" s="37"/>
      <c r="TX24" s="37"/>
      <c r="TY24" s="37"/>
      <c r="TZ24" s="37"/>
      <c r="UA24" s="37"/>
      <c r="UB24" s="37"/>
      <c r="UC24" s="37"/>
      <c r="UD24" s="37"/>
      <c r="UE24" s="37"/>
      <c r="UF24" s="37"/>
      <c r="UG24" s="37"/>
      <c r="UH24" s="37"/>
      <c r="UI24" s="37"/>
      <c r="UJ24" s="37"/>
      <c r="UK24" s="37"/>
      <c r="UL24" s="37"/>
      <c r="UM24" s="37"/>
      <c r="UN24" s="37"/>
      <c r="UO24" s="37"/>
      <c r="UP24" s="37"/>
      <c r="UQ24" s="37"/>
      <c r="UR24" s="37"/>
      <c r="US24" s="37"/>
      <c r="UT24" s="37"/>
      <c r="UU24" s="37"/>
      <c r="UV24" s="37"/>
      <c r="UW24" s="37"/>
      <c r="UX24" s="37"/>
      <c r="UY24" s="37"/>
      <c r="UZ24" s="37"/>
      <c r="VA24" s="37"/>
      <c r="VB24" s="37"/>
      <c r="VC24" s="37"/>
      <c r="VD24" s="37"/>
      <c r="VE24" s="37"/>
      <c r="VF24" s="37"/>
      <c r="VG24" s="37"/>
      <c r="VH24" s="37"/>
      <c r="VI24" s="37"/>
      <c r="VJ24" s="37"/>
      <c r="VK24" s="37"/>
      <c r="VL24" s="37"/>
      <c r="VM24" s="37"/>
      <c r="VN24" s="37"/>
      <c r="VO24" s="37"/>
      <c r="VP24" s="37"/>
      <c r="VQ24" s="37"/>
      <c r="VR24" s="37"/>
      <c r="VS24" s="37"/>
      <c r="VT24" s="37"/>
      <c r="VU24" s="37"/>
      <c r="VV24" s="37"/>
      <c r="VW24" s="37"/>
      <c r="VX24" s="37"/>
      <c r="VY24" s="37"/>
      <c r="VZ24" s="37"/>
      <c r="WA24" s="37"/>
      <c r="WB24" s="37"/>
      <c r="WC24" s="37"/>
      <c r="WD24" s="37"/>
      <c r="WE24" s="37"/>
      <c r="WF24" s="37"/>
      <c r="WG24" s="37"/>
      <c r="WH24" s="37"/>
      <c r="WI24" s="37"/>
      <c r="WJ24" s="37"/>
      <c r="WK24" s="37"/>
      <c r="WL24" s="37"/>
      <c r="WM24" s="37"/>
      <c r="WN24" s="37"/>
      <c r="WO24" s="37"/>
      <c r="WP24" s="37"/>
      <c r="WQ24" s="37"/>
      <c r="WR24" s="37"/>
      <c r="WS24" s="37"/>
      <c r="WT24" s="37"/>
      <c r="WU24" s="37"/>
      <c r="WV24" s="37"/>
      <c r="WW24" s="37"/>
      <c r="WX24" s="37"/>
      <c r="WY24" s="37"/>
      <c r="WZ24" s="37"/>
      <c r="XA24" s="37"/>
      <c r="XB24" s="37"/>
      <c r="XC24" s="37"/>
      <c r="XD24" s="37"/>
      <c r="XE24" s="37"/>
      <c r="XF24" s="37"/>
      <c r="XG24" s="37"/>
      <c r="XH24" s="37"/>
      <c r="XI24" s="37"/>
      <c r="XJ24" s="37"/>
      <c r="XK24" s="37"/>
      <c r="XL24" s="37"/>
      <c r="XM24" s="37"/>
      <c r="XN24" s="37"/>
      <c r="XO24" s="37"/>
      <c r="XP24" s="37"/>
      <c r="XQ24" s="37"/>
      <c r="XR24" s="37"/>
      <c r="XS24" s="37"/>
      <c r="XT24" s="37"/>
      <c r="XU24" s="37"/>
      <c r="XV24" s="37"/>
      <c r="XW24" s="37"/>
      <c r="XX24" s="37"/>
      <c r="XY24" s="37"/>
      <c r="XZ24" s="37"/>
      <c r="YA24" s="37"/>
      <c r="YB24" s="37"/>
      <c r="YC24" s="37"/>
      <c r="YD24" s="37"/>
      <c r="YE24" s="37"/>
      <c r="YF24" s="37"/>
      <c r="YG24" s="37"/>
      <c r="YH24" s="37"/>
      <c r="YI24" s="37"/>
      <c r="YJ24" s="37"/>
      <c r="YK24" s="37"/>
      <c r="YL24" s="37"/>
      <c r="YM24" s="37"/>
      <c r="YN24" s="37"/>
      <c r="YO24" s="37"/>
      <c r="YP24" s="37"/>
      <c r="YQ24" s="37"/>
      <c r="YR24" s="37"/>
      <c r="YS24" s="37"/>
      <c r="YT24" s="37"/>
      <c r="YU24" s="37"/>
      <c r="YV24" s="37"/>
      <c r="YW24" s="37"/>
      <c r="YX24" s="37"/>
      <c r="YY24" s="37"/>
      <c r="YZ24" s="37"/>
      <c r="ZA24" s="37"/>
      <c r="ZB24" s="37"/>
      <c r="ZC24" s="37"/>
      <c r="ZD24" s="37"/>
      <c r="ZE24" s="37"/>
      <c r="ZF24" s="37"/>
      <c r="ZG24" s="37"/>
      <c r="ZH24" s="37"/>
      <c r="ZI24" s="37"/>
      <c r="ZJ24" s="37"/>
      <c r="ZK24" s="37"/>
      <c r="ZL24" s="37"/>
      <c r="ZM24" s="37"/>
      <c r="ZN24" s="37"/>
      <c r="ZO24" s="37"/>
      <c r="ZP24" s="37"/>
      <c r="ZQ24" s="37"/>
      <c r="ZR24" s="37"/>
      <c r="ZS24" s="37"/>
      <c r="ZT24" s="37"/>
      <c r="ZU24" s="37"/>
      <c r="ZV24" s="37"/>
      <c r="ZW24" s="37"/>
      <c r="ZX24" s="37"/>
      <c r="ZY24" s="37"/>
      <c r="ZZ24" s="37"/>
      <c r="AAA24" s="37"/>
      <c r="AAB24" s="37"/>
      <c r="AAC24" s="37"/>
      <c r="AAD24" s="37"/>
      <c r="AAE24" s="37"/>
      <c r="AAF24" s="37"/>
      <c r="AAG24" s="37"/>
      <c r="AAH24" s="37"/>
      <c r="AAI24" s="37"/>
      <c r="AAJ24" s="37"/>
      <c r="AAK24" s="37"/>
      <c r="AAL24" s="37"/>
      <c r="AAM24" s="37"/>
      <c r="AAN24" s="37"/>
      <c r="AAO24" s="37"/>
      <c r="AAP24" s="37"/>
      <c r="AAQ24" s="37"/>
      <c r="AAR24" s="37"/>
      <c r="AAS24" s="37"/>
      <c r="AAT24" s="37"/>
      <c r="AAU24" s="37"/>
      <c r="AAV24" s="37"/>
      <c r="AAW24" s="37"/>
      <c r="AAX24" s="37"/>
      <c r="AAY24" s="37"/>
      <c r="AAZ24" s="37"/>
      <c r="ABA24" s="37"/>
      <c r="ABB24" s="37"/>
      <c r="ABC24" s="37"/>
      <c r="ABD24" s="37"/>
      <c r="ABE24" s="37"/>
      <c r="ABF24" s="37"/>
      <c r="ABG24" s="37"/>
      <c r="ABH24" s="37"/>
      <c r="ABI24" s="37"/>
      <c r="ABJ24" s="37"/>
      <c r="ABK24" s="37"/>
      <c r="ABL24" s="37"/>
      <c r="ABM24" s="37"/>
      <c r="ABN24" s="37"/>
      <c r="ABO24" s="37"/>
      <c r="ABP24" s="37"/>
      <c r="ABQ24" s="37"/>
      <c r="ABR24" s="37"/>
      <c r="ABS24" s="37"/>
      <c r="ABT24" s="37"/>
      <c r="ABU24" s="37"/>
      <c r="ABV24" s="37"/>
      <c r="ABW24" s="37"/>
      <c r="ABX24" s="37"/>
      <c r="ABY24" s="37"/>
      <c r="ABZ24" s="37"/>
      <c r="ACA24" s="37"/>
      <c r="ACB24" s="37"/>
      <c r="ACC24" s="37"/>
      <c r="ACD24" s="37"/>
      <c r="ACE24" s="37"/>
      <c r="ACF24" s="37"/>
      <c r="ACG24" s="37"/>
      <c r="ACH24" s="37"/>
      <c r="ACI24" s="37"/>
      <c r="ACJ24" s="37"/>
      <c r="ACK24" s="37"/>
      <c r="ACL24" s="37"/>
      <c r="ACM24" s="37"/>
      <c r="ACN24" s="37"/>
      <c r="ACO24" s="37"/>
      <c r="ACP24" s="37"/>
      <c r="ACQ24" s="37"/>
      <c r="ACR24" s="37"/>
      <c r="ACS24" s="37"/>
      <c r="ACT24" s="37"/>
      <c r="ACU24" s="37"/>
      <c r="ACV24" s="37"/>
      <c r="ACW24" s="37"/>
      <c r="ACX24" s="37"/>
      <c r="ACY24" s="37"/>
      <c r="ACZ24" s="37"/>
      <c r="ADA24" s="37"/>
      <c r="ADB24" s="37"/>
      <c r="ADC24" s="37"/>
      <c r="ADD24" s="37"/>
      <c r="ADE24" s="37"/>
      <c r="ADF24" s="37"/>
      <c r="ADG24" s="37"/>
      <c r="ADH24" s="37"/>
      <c r="ADI24" s="37"/>
      <c r="ADJ24" s="37"/>
      <c r="ADK24" s="37"/>
      <c r="ADL24" s="37"/>
      <c r="ADM24" s="37"/>
      <c r="ADN24" s="37"/>
      <c r="ADO24" s="37"/>
      <c r="ADP24" s="37"/>
      <c r="ADQ24" s="37"/>
      <c r="ADR24" s="37"/>
      <c r="ADS24" s="37"/>
      <c r="ADT24" s="37"/>
      <c r="ADU24" s="37"/>
      <c r="ADV24" s="37"/>
      <c r="ADW24" s="37"/>
      <c r="ADX24" s="37"/>
      <c r="ADY24" s="37"/>
      <c r="ADZ24" s="37"/>
      <c r="AEA24" s="37"/>
      <c r="AEB24" s="37"/>
      <c r="AEC24" s="37"/>
      <c r="AED24" s="37"/>
      <c r="AEE24" s="37"/>
      <c r="AEF24" s="37"/>
      <c r="AEG24" s="37"/>
      <c r="AEH24" s="37"/>
      <c r="AEI24" s="37"/>
      <c r="AEJ24" s="37"/>
      <c r="AEK24" s="37"/>
      <c r="AEL24" s="37"/>
      <c r="AEM24" s="37"/>
      <c r="AEN24" s="37"/>
      <c r="AEO24" s="37"/>
      <c r="AEP24" s="37"/>
      <c r="AEQ24" s="37"/>
      <c r="AER24" s="37"/>
      <c r="AES24" s="37"/>
      <c r="AET24" s="37"/>
      <c r="AEU24" s="37"/>
      <c r="AEV24" s="37"/>
      <c r="AEW24" s="37"/>
      <c r="AEX24" s="37"/>
      <c r="AEY24" s="37"/>
      <c r="AEZ24" s="37"/>
      <c r="AFA24" s="37"/>
      <c r="AFB24" s="37"/>
      <c r="AFC24" s="37"/>
      <c r="AFD24" s="37"/>
      <c r="AFE24" s="37"/>
      <c r="AFF24" s="37"/>
      <c r="AFG24" s="37"/>
      <c r="AFH24" s="37"/>
      <c r="AFI24" s="37"/>
      <c r="AFJ24" s="37"/>
      <c r="AFK24" s="37"/>
      <c r="AFL24" s="37"/>
      <c r="AFM24" s="37"/>
      <c r="AFN24" s="37"/>
      <c r="AFO24" s="37"/>
      <c r="AFP24" s="37"/>
      <c r="AFQ24" s="37"/>
      <c r="AFR24" s="37"/>
      <c r="AFS24" s="37"/>
      <c r="AFT24" s="37"/>
      <c r="AFU24" s="37"/>
      <c r="AFV24" s="37"/>
      <c r="AFW24" s="37"/>
      <c r="AFX24" s="37"/>
      <c r="AFY24" s="37"/>
      <c r="AFZ24" s="37"/>
      <c r="AGA24" s="37"/>
      <c r="AGB24" s="37"/>
      <c r="AGC24" s="37"/>
      <c r="AGD24" s="37"/>
      <c r="AGE24" s="37"/>
      <c r="AGF24" s="37"/>
      <c r="AGG24" s="37"/>
      <c r="AGH24" s="37"/>
      <c r="AGI24" s="37"/>
      <c r="AGJ24" s="37"/>
      <c r="AGK24" s="37"/>
      <c r="AGL24" s="37"/>
      <c r="AGM24" s="37"/>
      <c r="AGN24" s="37"/>
      <c r="AGO24" s="37"/>
      <c r="AGP24" s="37"/>
      <c r="AGQ24" s="37"/>
      <c r="AGR24" s="37"/>
      <c r="AGS24" s="37"/>
      <c r="AGT24" s="37"/>
      <c r="AGU24" s="37"/>
      <c r="AGV24" s="37"/>
      <c r="AGW24" s="37"/>
      <c r="AGX24" s="37"/>
      <c r="AGY24" s="37"/>
      <c r="AGZ24" s="37"/>
      <c r="AHA24" s="37"/>
      <c r="AHB24" s="37"/>
      <c r="AHC24" s="37"/>
      <c r="AHD24" s="37"/>
      <c r="AHE24" s="37"/>
      <c r="AHF24" s="37"/>
      <c r="AHG24" s="37"/>
      <c r="AHH24" s="37"/>
      <c r="AHI24" s="37"/>
      <c r="AHJ24" s="37"/>
      <c r="AHK24" s="37"/>
      <c r="AHL24" s="37"/>
      <c r="AHM24" s="37"/>
      <c r="AHN24" s="37"/>
      <c r="AHO24" s="37"/>
      <c r="AHP24" s="37"/>
      <c r="AHQ24" s="37"/>
      <c r="AHR24" s="37"/>
      <c r="AHS24" s="37"/>
      <c r="AHT24" s="37"/>
      <c r="AHU24" s="37"/>
      <c r="AHV24" s="37"/>
      <c r="AHW24" s="37"/>
      <c r="AHX24" s="37"/>
      <c r="AHY24" s="37"/>
      <c r="AHZ24" s="37"/>
      <c r="AIA24" s="37"/>
      <c r="AIB24" s="37"/>
      <c r="AIC24" s="37"/>
      <c r="AID24" s="37"/>
      <c r="AIE24" s="37"/>
      <c r="AIF24" s="37"/>
      <c r="AIG24" s="37"/>
      <c r="AIH24" s="37"/>
      <c r="AII24" s="37"/>
      <c r="AIJ24" s="37"/>
      <c r="AIK24" s="37"/>
      <c r="AIL24" s="37"/>
      <c r="AIM24" s="37"/>
      <c r="AIN24" s="37"/>
      <c r="AIO24" s="37"/>
      <c r="AIP24" s="37"/>
      <c r="AIQ24" s="37"/>
      <c r="AIR24" s="37"/>
      <c r="AIS24" s="37"/>
      <c r="AIT24" s="37"/>
      <c r="AIU24" s="37"/>
      <c r="AIV24" s="37"/>
      <c r="AIW24" s="37"/>
      <c r="AIX24" s="37"/>
      <c r="AIY24" s="37"/>
      <c r="AIZ24" s="37"/>
      <c r="AJA24" s="37"/>
      <c r="AJB24" s="37"/>
      <c r="AJC24" s="37"/>
      <c r="AJD24" s="37"/>
      <c r="AJE24" s="37"/>
      <c r="AJF24" s="37"/>
      <c r="AJG24" s="37"/>
      <c r="AJH24" s="37"/>
      <c r="AJI24" s="37"/>
      <c r="AJJ24" s="37"/>
      <c r="AJK24" s="37"/>
      <c r="AJL24" s="37"/>
      <c r="AJM24" s="37"/>
      <c r="AJN24" s="37"/>
      <c r="AJO24" s="37"/>
      <c r="AJP24" s="37"/>
      <c r="AJQ24" s="37"/>
      <c r="AJR24" s="37"/>
      <c r="AJS24" s="37"/>
      <c r="AJT24" s="37"/>
      <c r="AJU24" s="37"/>
      <c r="AJV24" s="37"/>
      <c r="AJW24" s="37"/>
      <c r="AJX24" s="37"/>
      <c r="AJY24" s="37"/>
      <c r="AJZ24" s="37"/>
      <c r="AKA24" s="37"/>
      <c r="AKB24" s="37"/>
      <c r="AKC24" s="37"/>
      <c r="AKD24" s="37"/>
      <c r="AKE24" s="37"/>
      <c r="AKF24" s="37"/>
      <c r="AKG24" s="37"/>
      <c r="AKH24" s="37"/>
      <c r="AKI24" s="37"/>
      <c r="AKJ24" s="37"/>
      <c r="AKK24" s="37"/>
      <c r="AKL24" s="37"/>
      <c r="AKM24" s="37"/>
      <c r="AKN24" s="37"/>
      <c r="AKO24" s="37"/>
      <c r="AKP24" s="37"/>
      <c r="AKQ24" s="37"/>
      <c r="AKR24" s="37"/>
      <c r="AKS24" s="37"/>
      <c r="AKT24" s="37"/>
      <c r="AKU24" s="37"/>
      <c r="AKV24" s="37"/>
      <c r="AKW24" s="37"/>
      <c r="AKX24" s="37"/>
      <c r="AKY24" s="37"/>
      <c r="AKZ24" s="37"/>
      <c r="ALA24" s="37"/>
      <c r="ALB24" s="37"/>
      <c r="ALC24" s="37"/>
      <c r="ALD24" s="37"/>
      <c r="ALE24" s="37"/>
      <c r="ALF24" s="37"/>
      <c r="ALG24" s="37"/>
      <c r="ALH24" s="37"/>
      <c r="ALI24" s="37"/>
      <c r="ALJ24" s="37"/>
      <c r="ALK24" s="37"/>
      <c r="ALL24" s="37"/>
      <c r="ALM24" s="37"/>
      <c r="ALN24" s="37"/>
      <c r="ALO24" s="37"/>
      <c r="ALP24" s="37"/>
      <c r="ALQ24" s="37"/>
      <c r="ALR24" s="37"/>
      <c r="ALS24" s="37"/>
      <c r="ALT24" s="37"/>
      <c r="ALU24" s="37"/>
      <c r="ALV24" s="37"/>
      <c r="ALW24" s="37"/>
      <c r="ALX24" s="37"/>
      <c r="ALY24" s="37"/>
      <c r="ALZ24" s="37"/>
      <c r="AMA24" s="37"/>
      <c r="AMB24" s="37"/>
      <c r="AMC24" s="37"/>
      <c r="AMD24" s="37"/>
      <c r="AME24" s="37"/>
      <c r="AMF24" s="37"/>
      <c r="AMG24" s="37"/>
      <c r="AMH24" s="37"/>
      <c r="AMI24" s="37"/>
      <c r="AMJ24" s="37"/>
      <c r="AMK24" s="37"/>
      <c r="AML24" s="37"/>
      <c r="AMM24" s="37"/>
      <c r="AMN24" s="37"/>
      <c r="AMO24" s="37"/>
      <c r="AMP24" s="37"/>
      <c r="AMQ24" s="37"/>
      <c r="AMR24" s="37"/>
      <c r="AMS24" s="37"/>
      <c r="AMT24" s="37"/>
      <c r="AMU24" s="37"/>
      <c r="AMV24" s="37"/>
      <c r="AMW24" s="37"/>
      <c r="AMX24" s="37"/>
      <c r="AMY24" s="37"/>
      <c r="AMZ24" s="37"/>
      <c r="ANA24" s="37"/>
      <c r="ANB24" s="37"/>
      <c r="ANC24" s="37"/>
      <c r="AND24" s="37"/>
      <c r="ANE24" s="37"/>
      <c r="ANF24" s="37"/>
      <c r="ANG24" s="37"/>
      <c r="ANH24" s="37"/>
      <c r="ANI24" s="37"/>
      <c r="ANJ24" s="37"/>
      <c r="ANK24" s="37"/>
      <c r="ANL24" s="37"/>
      <c r="ANM24" s="37"/>
      <c r="ANN24" s="37"/>
      <c r="ANO24" s="37"/>
      <c r="ANP24" s="37"/>
      <c r="ANQ24" s="37"/>
      <c r="ANR24" s="37"/>
      <c r="ANS24" s="37"/>
      <c r="ANT24" s="37"/>
      <c r="ANU24" s="37"/>
      <c r="ANV24" s="37"/>
      <c r="ANW24" s="37"/>
      <c r="ANX24" s="37"/>
      <c r="ANY24" s="37"/>
      <c r="ANZ24" s="37"/>
      <c r="AOA24" s="37"/>
      <c r="AOB24" s="37"/>
      <c r="AOC24" s="37"/>
      <c r="AOD24" s="37"/>
      <c r="AOE24" s="37"/>
      <c r="AOF24" s="37"/>
      <c r="AOG24" s="37"/>
      <c r="AOH24" s="37"/>
      <c r="AOI24" s="37"/>
      <c r="AOJ24" s="37"/>
      <c r="AOK24" s="37"/>
      <c r="AOL24" s="37"/>
      <c r="AOM24" s="37"/>
      <c r="AON24" s="37"/>
      <c r="AOO24" s="37"/>
      <c r="AOP24" s="37"/>
      <c r="AOQ24" s="37"/>
      <c r="AOR24" s="37"/>
      <c r="AOS24" s="37"/>
      <c r="AOT24" s="37"/>
      <c r="AOU24" s="37"/>
      <c r="AOV24" s="37"/>
      <c r="AOW24" s="37"/>
      <c r="AOX24" s="37"/>
      <c r="AOY24" s="37"/>
      <c r="AOZ24" s="37"/>
      <c r="APA24" s="37"/>
      <c r="APB24" s="37"/>
      <c r="APC24" s="37"/>
      <c r="APD24" s="37"/>
      <c r="APE24" s="37"/>
      <c r="APF24" s="37"/>
      <c r="APG24" s="37"/>
      <c r="APH24" s="37"/>
      <c r="API24" s="37"/>
      <c r="APJ24" s="37"/>
      <c r="APK24" s="37"/>
      <c r="APL24" s="37"/>
      <c r="APM24" s="37"/>
      <c r="APN24" s="37"/>
      <c r="APO24" s="37"/>
      <c r="APP24" s="37"/>
      <c r="APQ24" s="37"/>
      <c r="APR24" s="37"/>
      <c r="APS24" s="37"/>
      <c r="APT24" s="37"/>
      <c r="APU24" s="37"/>
      <c r="APV24" s="37"/>
      <c r="APW24" s="37"/>
      <c r="APX24" s="37"/>
      <c r="APY24" s="37"/>
      <c r="APZ24" s="37"/>
      <c r="AQA24" s="37"/>
      <c r="AQB24" s="37"/>
      <c r="AQC24" s="37"/>
      <c r="AQD24" s="37"/>
      <c r="AQE24" s="37"/>
      <c r="AQF24" s="37"/>
      <c r="AQG24" s="37"/>
      <c r="AQH24" s="37"/>
      <c r="AQI24" s="37"/>
      <c r="AQJ24" s="37"/>
      <c r="AQK24" s="37"/>
      <c r="AQL24" s="37"/>
      <c r="AQM24" s="37"/>
      <c r="AQN24" s="37"/>
      <c r="AQO24" s="37"/>
      <c r="AQP24" s="37"/>
      <c r="AQQ24" s="37"/>
      <c r="AQR24" s="37"/>
      <c r="AQS24" s="37"/>
      <c r="AQT24" s="37"/>
      <c r="AQU24" s="37"/>
      <c r="AQV24" s="37"/>
      <c r="AQW24" s="37"/>
      <c r="AQX24" s="37"/>
      <c r="AQY24" s="37"/>
      <c r="AQZ24" s="37"/>
      <c r="ARA24" s="37"/>
      <c r="ARB24" s="37"/>
      <c r="ARC24" s="37"/>
      <c r="ARD24" s="37"/>
      <c r="ARE24" s="37"/>
      <c r="ARF24" s="37"/>
      <c r="ARG24" s="37"/>
      <c r="ARH24" s="37"/>
      <c r="ARI24" s="37"/>
      <c r="ARJ24" s="37"/>
      <c r="ARK24" s="37"/>
      <c r="ARL24" s="37"/>
      <c r="ARM24" s="37"/>
      <c r="ARN24" s="37"/>
      <c r="ARO24" s="37"/>
      <c r="ARP24" s="37"/>
      <c r="ARQ24" s="37"/>
      <c r="ARR24" s="37"/>
      <c r="ARS24" s="37"/>
      <c r="ART24" s="37"/>
      <c r="ARU24" s="37"/>
      <c r="ARV24" s="37"/>
      <c r="ARW24" s="37"/>
      <c r="ARX24" s="37"/>
      <c r="ARY24" s="37"/>
      <c r="ARZ24" s="37"/>
      <c r="ASA24" s="37"/>
      <c r="ASB24" s="37"/>
      <c r="ASC24" s="37"/>
      <c r="ASD24" s="37"/>
      <c r="ASE24" s="37"/>
      <c r="ASF24" s="37"/>
      <c r="ASG24" s="37"/>
      <c r="ASH24" s="37"/>
      <c r="ASI24" s="37"/>
      <c r="ASJ24" s="37"/>
      <c r="ASK24" s="37"/>
      <c r="ASL24" s="37"/>
      <c r="ASM24" s="37"/>
      <c r="ASN24" s="37"/>
      <c r="ASO24" s="37"/>
      <c r="ASP24" s="37"/>
      <c r="ASQ24" s="37"/>
      <c r="ASR24" s="37"/>
      <c r="ASS24" s="37"/>
      <c r="AST24" s="37"/>
      <c r="ASU24" s="37"/>
      <c r="ASV24" s="37"/>
      <c r="ASW24" s="37"/>
      <c r="ASX24" s="37"/>
      <c r="ASY24" s="37"/>
      <c r="ASZ24" s="37"/>
      <c r="ATA24" s="37"/>
      <c r="ATB24" s="37"/>
      <c r="ATC24" s="37"/>
      <c r="ATD24" s="37"/>
      <c r="ATE24" s="37"/>
      <c r="ATF24" s="37"/>
      <c r="ATG24" s="37"/>
      <c r="ATH24" s="37"/>
      <c r="ATI24" s="37"/>
      <c r="ATJ24" s="37"/>
      <c r="ATK24" s="37"/>
      <c r="ATL24" s="37"/>
      <c r="ATM24" s="37"/>
      <c r="ATN24" s="37"/>
      <c r="ATO24" s="37"/>
      <c r="ATP24" s="37"/>
      <c r="ATQ24" s="37"/>
      <c r="ATR24" s="37"/>
      <c r="ATS24" s="37"/>
      <c r="ATT24" s="37"/>
      <c r="ATU24" s="37"/>
      <c r="ATV24" s="37"/>
      <c r="ATW24" s="37"/>
      <c r="ATX24" s="37"/>
      <c r="ATY24" s="37"/>
      <c r="ATZ24" s="37"/>
      <c r="AUA24" s="37"/>
      <c r="AUB24" s="37"/>
      <c r="AUC24" s="37"/>
      <c r="AUD24" s="37"/>
      <c r="AUE24" s="37"/>
      <c r="AUF24" s="37"/>
      <c r="AUG24" s="37"/>
      <c r="AUH24" s="37"/>
      <c r="AUI24" s="37"/>
      <c r="AUJ24" s="37"/>
      <c r="AUK24" s="37"/>
      <c r="AUL24" s="37"/>
      <c r="AUM24" s="37"/>
      <c r="AUN24" s="37"/>
      <c r="AUO24" s="37"/>
      <c r="AUP24" s="37"/>
      <c r="AUQ24" s="37"/>
      <c r="AUR24" s="37"/>
      <c r="AUS24" s="37"/>
      <c r="AUT24" s="37"/>
      <c r="AUU24" s="37"/>
      <c r="AUV24" s="37"/>
      <c r="AUW24" s="37"/>
      <c r="AUX24" s="37"/>
      <c r="AUY24" s="37"/>
      <c r="AUZ24" s="37"/>
      <c r="AVA24" s="37"/>
      <c r="AVB24" s="37"/>
      <c r="AVC24" s="37"/>
      <c r="AVD24" s="37"/>
      <c r="AVE24" s="37"/>
      <c r="AVF24" s="37"/>
      <c r="AVG24" s="37"/>
      <c r="AVH24" s="37"/>
      <c r="AVI24" s="37"/>
      <c r="AVJ24" s="37"/>
      <c r="AVK24" s="37"/>
      <c r="AVL24" s="37"/>
      <c r="AVM24" s="37"/>
      <c r="AVN24" s="37"/>
      <c r="AVO24" s="37"/>
      <c r="AVP24" s="37"/>
      <c r="AVQ24" s="37"/>
      <c r="AVR24" s="37"/>
      <c r="AVS24" s="37"/>
      <c r="AVT24" s="37"/>
      <c r="AVU24" s="37"/>
      <c r="AVV24" s="37"/>
      <c r="AVW24" s="37"/>
      <c r="AVX24" s="37"/>
      <c r="AVY24" s="37"/>
      <c r="AVZ24" s="37"/>
      <c r="AWA24" s="37"/>
      <c r="AWB24" s="37"/>
      <c r="AWC24" s="37"/>
      <c r="AWD24" s="37"/>
      <c r="AWE24" s="37"/>
      <c r="AWF24" s="37"/>
      <c r="AWG24" s="37"/>
      <c r="AWH24" s="37"/>
      <c r="AWI24" s="37"/>
      <c r="AWJ24" s="37"/>
      <c r="AWK24" s="37"/>
      <c r="AWL24" s="37"/>
      <c r="AWM24" s="37"/>
      <c r="AWN24" s="37"/>
      <c r="AWO24" s="37"/>
      <c r="AWP24" s="37"/>
      <c r="AWQ24" s="37"/>
      <c r="AWR24" s="37"/>
      <c r="AWS24" s="37"/>
      <c r="AWT24" s="37"/>
      <c r="AWU24" s="37"/>
      <c r="AWV24" s="37"/>
      <c r="AWW24" s="37"/>
      <c r="AWX24" s="37"/>
      <c r="AWY24" s="37"/>
      <c r="AWZ24" s="37"/>
      <c r="AXA24" s="37"/>
      <c r="AXB24" s="37"/>
      <c r="AXC24" s="37"/>
      <c r="AXD24" s="37"/>
      <c r="AXE24" s="37"/>
      <c r="AXF24" s="37"/>
      <c r="AXG24" s="37"/>
      <c r="AXH24" s="37"/>
      <c r="AXI24" s="37"/>
      <c r="AXJ24" s="37"/>
      <c r="AXK24" s="37"/>
      <c r="AXL24" s="37"/>
      <c r="AXM24" s="37"/>
      <c r="AXN24" s="37"/>
      <c r="AXO24" s="37"/>
      <c r="AXP24" s="37"/>
      <c r="AXQ24" s="37"/>
      <c r="AXR24" s="37"/>
      <c r="AXS24" s="37"/>
      <c r="AXT24" s="37"/>
      <c r="AXU24" s="37"/>
      <c r="AXV24" s="37"/>
      <c r="AXW24" s="37"/>
      <c r="AXX24" s="37"/>
      <c r="AXY24" s="37"/>
      <c r="AXZ24" s="37"/>
      <c r="AYA24" s="37"/>
      <c r="AYB24" s="37"/>
      <c r="AYC24" s="37"/>
      <c r="AYD24" s="37"/>
      <c r="AYE24" s="37"/>
      <c r="AYF24" s="37"/>
      <c r="AYG24" s="37"/>
      <c r="AYH24" s="37"/>
      <c r="AYI24" s="37"/>
      <c r="AYJ24" s="37"/>
      <c r="AYK24" s="37"/>
      <c r="AYL24" s="37"/>
      <c r="AYM24" s="37"/>
      <c r="AYN24" s="37"/>
      <c r="AYO24" s="37"/>
      <c r="AYP24" s="37"/>
      <c r="AYQ24" s="37"/>
      <c r="AYR24" s="37"/>
      <c r="AYS24" s="37"/>
      <c r="AYT24" s="37"/>
      <c r="AYU24" s="37"/>
      <c r="AYV24" s="37"/>
      <c r="AYW24" s="37"/>
      <c r="AYX24" s="37"/>
      <c r="AYY24" s="37"/>
      <c r="AYZ24" s="37"/>
      <c r="AZA24" s="37"/>
      <c r="AZB24" s="37"/>
      <c r="AZC24" s="37"/>
      <c r="AZD24" s="37"/>
      <c r="AZE24" s="37"/>
      <c r="AZF24" s="37"/>
      <c r="AZG24" s="37"/>
      <c r="AZH24" s="37"/>
      <c r="AZI24" s="37"/>
      <c r="AZJ24" s="37"/>
      <c r="AZK24" s="37"/>
      <c r="AZL24" s="37"/>
      <c r="AZM24" s="37"/>
      <c r="AZN24" s="37"/>
      <c r="AZO24" s="37"/>
      <c r="AZP24" s="37"/>
      <c r="AZQ24" s="37"/>
      <c r="AZR24" s="37"/>
      <c r="AZS24" s="37"/>
      <c r="AZT24" s="37"/>
      <c r="AZU24" s="37"/>
      <c r="AZV24" s="37"/>
      <c r="AZW24" s="37"/>
      <c r="AZX24" s="37"/>
      <c r="AZY24" s="37"/>
      <c r="AZZ24" s="37"/>
      <c r="BAA24" s="37"/>
      <c r="BAB24" s="37"/>
      <c r="BAC24" s="37"/>
      <c r="BAD24" s="37"/>
      <c r="BAE24" s="37"/>
      <c r="BAF24" s="37"/>
      <c r="BAG24" s="37"/>
      <c r="BAH24" s="37"/>
      <c r="BAI24" s="37"/>
      <c r="BAJ24" s="37"/>
      <c r="BAK24" s="37"/>
      <c r="BAL24" s="37"/>
      <c r="BAM24" s="37"/>
      <c r="BAN24" s="37"/>
      <c r="BAO24" s="37"/>
      <c r="BAP24" s="37"/>
      <c r="BAQ24" s="37"/>
      <c r="BAR24" s="37"/>
      <c r="BAS24" s="37"/>
      <c r="BAT24" s="37"/>
      <c r="BAU24" s="37"/>
      <c r="BAV24" s="37"/>
      <c r="BAW24" s="37"/>
      <c r="BAX24" s="37"/>
      <c r="BAY24" s="37"/>
      <c r="BAZ24" s="37"/>
      <c r="BBA24" s="37"/>
      <c r="BBB24" s="37"/>
      <c r="BBC24" s="37"/>
      <c r="BBD24" s="37"/>
      <c r="BBE24" s="37"/>
      <c r="BBF24" s="37"/>
      <c r="BBG24" s="37"/>
      <c r="BBH24" s="37"/>
      <c r="BBI24" s="37"/>
      <c r="BBJ24" s="37"/>
      <c r="BBK24" s="37"/>
      <c r="BBL24" s="37"/>
      <c r="BBM24" s="37"/>
      <c r="BBN24" s="37"/>
      <c r="BBO24" s="37"/>
      <c r="BBP24" s="37"/>
      <c r="BBQ24" s="37"/>
      <c r="BBR24" s="37"/>
      <c r="BBS24" s="37"/>
      <c r="BBT24" s="37"/>
      <c r="BBU24" s="37"/>
      <c r="BBV24" s="37"/>
      <c r="BBW24" s="37"/>
      <c r="BBX24" s="37"/>
      <c r="BBY24" s="37"/>
      <c r="BBZ24" s="37"/>
      <c r="BCA24" s="37"/>
      <c r="BCB24" s="37"/>
      <c r="BCC24" s="37"/>
      <c r="BCD24" s="37"/>
      <c r="BCE24" s="37"/>
      <c r="BCF24" s="37"/>
      <c r="BCG24" s="37"/>
      <c r="BCH24" s="37"/>
      <c r="BCI24" s="37"/>
      <c r="BCJ24" s="37"/>
      <c r="BCK24" s="37"/>
      <c r="BCL24" s="37"/>
      <c r="BCM24" s="37"/>
      <c r="BCN24" s="37"/>
      <c r="BCO24" s="37"/>
      <c r="BCP24" s="37"/>
      <c r="BCQ24" s="37"/>
      <c r="BCR24" s="37"/>
      <c r="BCS24" s="37"/>
      <c r="BCT24" s="37"/>
      <c r="BCU24" s="37"/>
      <c r="BCV24" s="37"/>
      <c r="BCW24" s="37"/>
      <c r="BCX24" s="37"/>
      <c r="BCY24" s="37"/>
      <c r="BCZ24" s="37"/>
      <c r="BDA24" s="37"/>
      <c r="BDB24" s="37"/>
      <c r="BDC24" s="37"/>
      <c r="BDD24" s="37"/>
      <c r="BDE24" s="37"/>
      <c r="BDF24" s="37"/>
      <c r="BDG24" s="37"/>
      <c r="BDH24" s="37"/>
      <c r="BDI24" s="37"/>
      <c r="BDJ24" s="37"/>
      <c r="BDK24" s="37"/>
      <c r="BDL24" s="37"/>
      <c r="BDM24" s="37"/>
      <c r="BDN24" s="37"/>
      <c r="BDO24" s="37"/>
      <c r="BDP24" s="37"/>
      <c r="BDQ24" s="37"/>
      <c r="BDR24" s="37"/>
      <c r="BDS24" s="37"/>
      <c r="BDT24" s="37"/>
      <c r="BDU24" s="37"/>
      <c r="BDV24" s="37"/>
      <c r="BDW24" s="37"/>
      <c r="BDX24" s="37"/>
      <c r="BDY24" s="37"/>
      <c r="BDZ24" s="37"/>
      <c r="BEA24" s="37"/>
      <c r="BEB24" s="37"/>
      <c r="BEC24" s="37"/>
      <c r="BED24" s="37"/>
      <c r="BEE24" s="37"/>
      <c r="BEF24" s="37"/>
      <c r="BEG24" s="37"/>
      <c r="BEH24" s="37"/>
      <c r="BEI24" s="37"/>
      <c r="BEJ24" s="37"/>
      <c r="BEK24" s="37"/>
      <c r="BEL24" s="37"/>
      <c r="BEM24" s="37"/>
      <c r="BEN24" s="37"/>
      <c r="BEO24" s="37"/>
      <c r="BEP24" s="37"/>
      <c r="BEQ24" s="37"/>
      <c r="BER24" s="37"/>
      <c r="BES24" s="37"/>
      <c r="BET24" s="37"/>
      <c r="BEU24" s="37"/>
      <c r="BEV24" s="37"/>
      <c r="BEW24" s="37"/>
      <c r="BEX24" s="37"/>
      <c r="BEY24" s="37"/>
      <c r="BEZ24" s="37"/>
      <c r="BFA24" s="37"/>
      <c r="BFB24" s="37"/>
      <c r="BFC24" s="37"/>
      <c r="BFD24" s="37"/>
      <c r="BFE24" s="37"/>
      <c r="BFF24" s="37"/>
      <c r="BFG24" s="37"/>
      <c r="BFH24" s="37"/>
      <c r="BFI24" s="37"/>
      <c r="BFJ24" s="37"/>
      <c r="BFK24" s="37"/>
      <c r="BFL24" s="37"/>
      <c r="BFM24" s="37"/>
      <c r="BFN24" s="37"/>
      <c r="BFO24" s="37"/>
      <c r="BFP24" s="37"/>
      <c r="BFQ24" s="37"/>
      <c r="BFR24" s="37"/>
      <c r="BFS24" s="37"/>
      <c r="BFT24" s="37"/>
      <c r="BFU24" s="37"/>
      <c r="BFV24" s="37"/>
      <c r="BFW24" s="37"/>
      <c r="BFX24" s="37"/>
      <c r="BFY24" s="37"/>
      <c r="BFZ24" s="37"/>
      <c r="BGA24" s="37"/>
      <c r="BGB24" s="37"/>
      <c r="BGC24" s="37"/>
      <c r="BGD24" s="37"/>
      <c r="BGE24" s="37"/>
      <c r="BGF24" s="37"/>
      <c r="BGG24" s="37"/>
      <c r="BGH24" s="37"/>
      <c r="BGI24" s="37"/>
      <c r="BGJ24" s="37"/>
      <c r="BGK24" s="37"/>
      <c r="BGL24" s="37"/>
      <c r="BGM24" s="37"/>
      <c r="BGN24" s="37"/>
      <c r="BGO24" s="37"/>
      <c r="BGP24" s="37"/>
      <c r="BGQ24" s="37"/>
      <c r="BGR24" s="37"/>
      <c r="BGS24" s="37"/>
      <c r="BGT24" s="37"/>
      <c r="BGU24" s="37"/>
      <c r="BGV24" s="37"/>
      <c r="BGW24" s="37"/>
      <c r="BGX24" s="37"/>
      <c r="BGY24" s="37"/>
      <c r="BGZ24" s="37"/>
      <c r="BHA24" s="37"/>
      <c r="BHB24" s="37"/>
      <c r="BHC24" s="37"/>
      <c r="BHD24" s="37"/>
      <c r="BHE24" s="37"/>
      <c r="BHF24" s="37"/>
      <c r="BHG24" s="37"/>
      <c r="BHH24" s="37"/>
      <c r="BHI24" s="37"/>
      <c r="BHJ24" s="37"/>
      <c r="BHK24" s="37"/>
      <c r="BHL24" s="37"/>
      <c r="BHM24" s="37"/>
      <c r="BHN24" s="37"/>
      <c r="BHO24" s="37"/>
      <c r="BHP24" s="37"/>
      <c r="BHQ24" s="37"/>
      <c r="BHR24" s="37"/>
      <c r="BHS24" s="37"/>
      <c r="BHT24" s="37"/>
      <c r="BHU24" s="37"/>
      <c r="BHV24" s="37"/>
      <c r="BHW24" s="37"/>
      <c r="BHX24" s="37"/>
      <c r="BHY24" s="37"/>
      <c r="BHZ24" s="37"/>
      <c r="BIA24" s="37"/>
      <c r="BIB24" s="37"/>
      <c r="BIC24" s="37"/>
      <c r="BID24" s="37"/>
      <c r="BIE24" s="37"/>
      <c r="BIF24" s="37"/>
      <c r="BIG24" s="37"/>
      <c r="BIH24" s="37"/>
      <c r="BII24" s="37"/>
      <c r="BIJ24" s="37"/>
      <c r="BIK24" s="37"/>
      <c r="BIL24" s="37"/>
      <c r="BIM24" s="37"/>
      <c r="BIN24" s="37"/>
      <c r="BIO24" s="37"/>
      <c r="BIP24" s="37"/>
      <c r="BIQ24" s="37"/>
      <c r="BIR24" s="37"/>
      <c r="BIS24" s="37"/>
      <c r="BIT24" s="37"/>
      <c r="BIU24" s="37"/>
      <c r="BIV24" s="37"/>
      <c r="BIW24" s="37"/>
      <c r="BIX24" s="37"/>
      <c r="BIY24" s="37"/>
      <c r="BIZ24" s="37"/>
      <c r="BJA24" s="37"/>
      <c r="BJB24" s="37"/>
      <c r="BJC24" s="37"/>
      <c r="BJD24" s="37"/>
      <c r="BJE24" s="37"/>
      <c r="BJF24" s="37"/>
      <c r="BJG24" s="37"/>
      <c r="BJH24" s="37"/>
      <c r="BJI24" s="37"/>
      <c r="BJJ24" s="37"/>
      <c r="BJK24" s="37"/>
      <c r="BJL24" s="37"/>
      <c r="BJM24" s="37"/>
      <c r="BJN24" s="37"/>
      <c r="BJO24" s="37"/>
      <c r="BJP24" s="37"/>
      <c r="BJQ24" s="37"/>
      <c r="BJR24" s="37"/>
      <c r="BJS24" s="37"/>
      <c r="BJT24" s="37"/>
      <c r="BJU24" s="37"/>
      <c r="BJV24" s="37"/>
      <c r="BJW24" s="37"/>
      <c r="BJX24" s="37"/>
      <c r="BJY24" s="37"/>
      <c r="BJZ24" s="37"/>
      <c r="BKA24" s="37"/>
      <c r="BKB24" s="37"/>
      <c r="BKC24" s="37"/>
      <c r="BKD24" s="37"/>
      <c r="BKE24" s="37"/>
      <c r="BKF24" s="37"/>
      <c r="BKG24" s="37"/>
      <c r="BKH24" s="37"/>
      <c r="BKI24" s="37"/>
      <c r="BKJ24" s="37"/>
      <c r="BKK24" s="37"/>
      <c r="BKL24" s="37"/>
      <c r="BKM24" s="37"/>
      <c r="BKN24" s="37"/>
      <c r="BKO24" s="37"/>
      <c r="BKP24" s="37"/>
      <c r="BKQ24" s="37"/>
      <c r="BKR24" s="37"/>
      <c r="BKS24" s="37"/>
      <c r="BKT24" s="37"/>
      <c r="BKU24" s="37"/>
      <c r="BKV24" s="37"/>
      <c r="BKW24" s="37"/>
      <c r="BKX24" s="37"/>
      <c r="BKY24" s="37"/>
      <c r="BKZ24" s="37"/>
      <c r="BLA24" s="37"/>
      <c r="BLB24" s="37"/>
      <c r="BLC24" s="37"/>
      <c r="BLD24" s="37"/>
      <c r="BLE24" s="37"/>
      <c r="BLF24" s="37"/>
      <c r="BLG24" s="37"/>
      <c r="BLH24" s="37"/>
      <c r="BLI24" s="37"/>
      <c r="BLJ24" s="37"/>
      <c r="BLK24" s="37"/>
      <c r="BLL24" s="37"/>
      <c r="BLM24" s="37"/>
      <c r="BLN24" s="37"/>
      <c r="BLO24" s="37"/>
      <c r="BLP24" s="37"/>
      <c r="BLQ24" s="37"/>
      <c r="BLR24" s="37"/>
      <c r="BLS24" s="37"/>
      <c r="BLT24" s="37"/>
      <c r="BLU24" s="37"/>
      <c r="BLV24" s="37"/>
      <c r="BLW24" s="37"/>
      <c r="BLX24" s="37"/>
      <c r="BLY24" s="37"/>
      <c r="BLZ24" s="37"/>
      <c r="BMA24" s="37"/>
      <c r="BMB24" s="37"/>
      <c r="BMC24" s="37"/>
      <c r="BMD24" s="37"/>
      <c r="BME24" s="37"/>
      <c r="BMF24" s="37"/>
      <c r="BMG24" s="37"/>
      <c r="BMH24" s="37"/>
      <c r="BMI24" s="37"/>
      <c r="BMJ24" s="37"/>
      <c r="BMK24" s="37"/>
      <c r="BML24" s="37"/>
      <c r="BMM24" s="37"/>
      <c r="BMN24" s="37"/>
      <c r="BMO24" s="37"/>
      <c r="BMP24" s="37"/>
      <c r="BMQ24" s="37"/>
      <c r="BMR24" s="37"/>
      <c r="BMS24" s="37"/>
      <c r="BMT24" s="37"/>
      <c r="BMU24" s="37"/>
      <c r="BMV24" s="37"/>
      <c r="BMW24" s="37"/>
      <c r="BMX24" s="37"/>
      <c r="BMY24" s="37"/>
      <c r="BMZ24" s="37"/>
      <c r="BNA24" s="37"/>
      <c r="BNB24" s="37"/>
      <c r="BNC24" s="37"/>
      <c r="BND24" s="37"/>
      <c r="BNE24" s="37"/>
      <c r="BNF24" s="37"/>
      <c r="BNG24" s="37"/>
      <c r="BNH24" s="37"/>
      <c r="BNI24" s="37"/>
      <c r="BNJ24" s="37"/>
      <c r="BNK24" s="37"/>
      <c r="BNL24" s="37"/>
      <c r="BNM24" s="37"/>
      <c r="BNN24" s="37"/>
      <c r="BNO24" s="37"/>
      <c r="BNP24" s="37"/>
      <c r="BNQ24" s="37"/>
      <c r="BNR24" s="37"/>
      <c r="BNS24" s="37"/>
      <c r="BNT24" s="37"/>
      <c r="BNU24" s="37"/>
      <c r="BNV24" s="37"/>
      <c r="BNW24" s="37"/>
      <c r="BNX24" s="37"/>
      <c r="BNY24" s="37"/>
      <c r="BNZ24" s="37"/>
      <c r="BOA24" s="37"/>
      <c r="BOB24" s="37"/>
      <c r="BOC24" s="37"/>
      <c r="BOD24" s="37"/>
      <c r="BOE24" s="37"/>
      <c r="BOF24" s="37"/>
      <c r="BOG24" s="37"/>
      <c r="BOH24" s="37"/>
      <c r="BOI24" s="37"/>
      <c r="BOJ24" s="37"/>
      <c r="BOK24" s="37"/>
      <c r="BOL24" s="37"/>
      <c r="BOM24" s="37"/>
      <c r="BON24" s="37"/>
      <c r="BOO24" s="37"/>
      <c r="BOP24" s="37"/>
      <c r="BOQ24" s="37"/>
      <c r="BOR24" s="37"/>
      <c r="BOS24" s="37"/>
      <c r="BOT24" s="37"/>
      <c r="BOU24" s="37"/>
      <c r="BOV24" s="37"/>
      <c r="BOW24" s="37"/>
      <c r="BOX24" s="37"/>
      <c r="BOY24" s="37"/>
      <c r="BOZ24" s="37"/>
      <c r="BPA24" s="37"/>
      <c r="BPB24" s="37"/>
      <c r="BPC24" s="37"/>
      <c r="BPD24" s="37"/>
      <c r="BPE24" s="37"/>
      <c r="BPF24" s="37"/>
      <c r="BPG24" s="37"/>
      <c r="BPH24" s="37"/>
      <c r="BPI24" s="37"/>
      <c r="BPJ24" s="37"/>
      <c r="BPK24" s="37"/>
      <c r="BPL24" s="37"/>
      <c r="BPM24" s="37"/>
      <c r="BPN24" s="37"/>
      <c r="BPO24" s="37"/>
      <c r="BPP24" s="37"/>
      <c r="BPQ24" s="37"/>
      <c r="BPR24" s="37"/>
      <c r="BPS24" s="37"/>
      <c r="BPT24" s="37"/>
      <c r="BPU24" s="37"/>
      <c r="BPV24" s="37"/>
      <c r="BPW24" s="37"/>
      <c r="BPX24" s="37"/>
      <c r="BPY24" s="37"/>
      <c r="BPZ24" s="37"/>
      <c r="BQA24" s="37"/>
      <c r="BQB24" s="37"/>
      <c r="BQC24" s="37"/>
      <c r="BQD24" s="37"/>
      <c r="BQE24" s="37"/>
      <c r="BQF24" s="37"/>
      <c r="BQG24" s="37"/>
      <c r="BQH24" s="37"/>
      <c r="BQI24" s="37"/>
      <c r="BQJ24" s="37"/>
      <c r="BQK24" s="37"/>
      <c r="BQL24" s="37"/>
      <c r="BQM24" s="37"/>
      <c r="BQN24" s="37"/>
      <c r="BQO24" s="37"/>
      <c r="BQP24" s="37"/>
      <c r="BQQ24" s="37"/>
      <c r="BQR24" s="37"/>
      <c r="BQS24" s="37"/>
      <c r="BQT24" s="37"/>
      <c r="BQU24" s="37"/>
      <c r="BQV24" s="37"/>
      <c r="BQW24" s="37"/>
      <c r="BQX24" s="37"/>
      <c r="BQY24" s="37"/>
      <c r="BQZ24" s="37"/>
      <c r="BRA24" s="37"/>
      <c r="BRB24" s="37"/>
      <c r="BRC24" s="37"/>
      <c r="BRD24" s="37"/>
      <c r="BRE24" s="37"/>
      <c r="BRF24" s="37"/>
      <c r="BRG24" s="37"/>
      <c r="BRH24" s="37"/>
      <c r="BRI24" s="37"/>
      <c r="BRJ24" s="37"/>
      <c r="BRK24" s="37"/>
      <c r="BRL24" s="37"/>
      <c r="BRM24" s="37"/>
      <c r="BRN24" s="37"/>
      <c r="BRO24" s="37"/>
      <c r="BRP24" s="37"/>
      <c r="BRQ24" s="37"/>
      <c r="BRR24" s="37"/>
      <c r="BRS24" s="37"/>
      <c r="BRT24" s="37"/>
      <c r="BRU24" s="37"/>
      <c r="BRV24" s="37"/>
      <c r="BRW24" s="37"/>
      <c r="BRX24" s="37"/>
      <c r="BRY24" s="37"/>
      <c r="BRZ24" s="37"/>
      <c r="BSA24" s="37"/>
      <c r="BSB24" s="37"/>
      <c r="BSC24" s="37"/>
      <c r="BSD24" s="37"/>
      <c r="BSE24" s="37"/>
      <c r="BSF24" s="37"/>
      <c r="BSG24" s="37"/>
      <c r="BSH24" s="37"/>
      <c r="BSI24" s="37"/>
      <c r="BSJ24" s="37"/>
      <c r="BSK24" s="37"/>
      <c r="BSL24" s="37"/>
      <c r="BSM24" s="37"/>
      <c r="BSN24" s="37"/>
      <c r="BSO24" s="37"/>
      <c r="BSP24" s="37"/>
      <c r="BSQ24" s="37"/>
      <c r="BSR24" s="37"/>
      <c r="BSS24" s="37"/>
      <c r="BST24" s="37"/>
      <c r="BSU24" s="37"/>
      <c r="BSV24" s="37"/>
      <c r="BSW24" s="37"/>
      <c r="BSX24" s="37"/>
      <c r="BSY24" s="37"/>
      <c r="BSZ24" s="37"/>
      <c r="BTA24" s="37"/>
      <c r="BTB24" s="37"/>
      <c r="BTC24" s="37"/>
      <c r="BTD24" s="37"/>
      <c r="BTE24" s="37"/>
      <c r="BTF24" s="37"/>
      <c r="BTG24" s="37"/>
      <c r="BTH24" s="37"/>
      <c r="BTI24" s="37"/>
      <c r="BTJ24" s="37"/>
      <c r="BTK24" s="37"/>
      <c r="BTL24" s="37"/>
      <c r="BTM24" s="37"/>
      <c r="BTN24" s="37"/>
      <c r="BTO24" s="37"/>
      <c r="BTP24" s="37"/>
      <c r="BTQ24" s="37"/>
      <c r="BTR24" s="37"/>
      <c r="BTS24" s="37"/>
      <c r="BTT24" s="37"/>
      <c r="BTU24" s="37"/>
      <c r="BTV24" s="37"/>
      <c r="BTW24" s="37"/>
      <c r="BTX24" s="37"/>
      <c r="BTY24" s="37"/>
      <c r="BTZ24" s="37"/>
      <c r="BUA24" s="37"/>
      <c r="BUB24" s="37"/>
      <c r="BUC24" s="37"/>
      <c r="BUD24" s="37"/>
      <c r="BUE24" s="37"/>
      <c r="BUF24" s="37"/>
      <c r="BUG24" s="37"/>
      <c r="BUH24" s="37"/>
      <c r="BUI24" s="37"/>
      <c r="BUJ24" s="37"/>
      <c r="BUK24" s="37"/>
      <c r="BUL24" s="37"/>
      <c r="BUM24" s="37"/>
      <c r="BUN24" s="37"/>
      <c r="BUO24" s="37"/>
      <c r="BUP24" s="37"/>
      <c r="BUQ24" s="37"/>
      <c r="BUR24" s="37"/>
      <c r="BUS24" s="37"/>
      <c r="BUT24" s="37"/>
      <c r="BUU24" s="37"/>
      <c r="BUV24" s="37"/>
      <c r="BUW24" s="37"/>
      <c r="BUX24" s="37"/>
      <c r="BUY24" s="37"/>
      <c r="BUZ24" s="37"/>
      <c r="BVA24" s="37"/>
      <c r="BVB24" s="37"/>
      <c r="BVC24" s="37"/>
      <c r="BVD24" s="37"/>
      <c r="BVE24" s="37"/>
      <c r="BVF24" s="37"/>
      <c r="BVG24" s="37"/>
      <c r="BVH24" s="37"/>
      <c r="BVI24" s="37"/>
      <c r="BVJ24" s="37"/>
      <c r="BVK24" s="37"/>
      <c r="BVL24" s="37"/>
      <c r="BVM24" s="37"/>
      <c r="BVN24" s="37"/>
      <c r="BVO24" s="37"/>
      <c r="BVP24" s="37"/>
      <c r="BVQ24" s="37"/>
      <c r="BVR24" s="37"/>
      <c r="BVS24" s="37"/>
      <c r="BVT24" s="37"/>
      <c r="BVU24" s="37"/>
      <c r="BVV24" s="37"/>
      <c r="BVW24" s="37"/>
      <c r="BVX24" s="37"/>
      <c r="BVY24" s="37"/>
      <c r="BVZ24" s="37"/>
      <c r="BWA24" s="37"/>
      <c r="BWB24" s="37"/>
      <c r="BWC24" s="37"/>
      <c r="BWD24" s="37"/>
      <c r="BWE24" s="37"/>
      <c r="BWF24" s="37"/>
      <c r="BWG24" s="37"/>
      <c r="BWH24" s="37"/>
      <c r="BWI24" s="37"/>
      <c r="BWJ24" s="37"/>
      <c r="BWK24" s="37"/>
      <c r="BWL24" s="37"/>
      <c r="BWM24" s="37"/>
      <c r="BWN24" s="37"/>
      <c r="BWO24" s="37"/>
      <c r="BWP24" s="37"/>
      <c r="BWQ24" s="37"/>
      <c r="BWR24" s="37"/>
      <c r="BWS24" s="37"/>
      <c r="BWT24" s="37"/>
      <c r="BWU24" s="37"/>
      <c r="BWV24" s="37"/>
      <c r="BWW24" s="37"/>
      <c r="BWX24" s="37"/>
      <c r="BWY24" s="37"/>
      <c r="BWZ24" s="37"/>
      <c r="BXA24" s="37"/>
      <c r="BXB24" s="37"/>
      <c r="BXC24" s="37"/>
      <c r="BXD24" s="37"/>
      <c r="BXE24" s="37"/>
      <c r="BXF24" s="37"/>
      <c r="BXG24" s="37"/>
      <c r="BXH24" s="37"/>
      <c r="BXI24" s="37"/>
      <c r="BXJ24" s="37"/>
      <c r="BXK24" s="37"/>
      <c r="BXL24" s="37"/>
      <c r="BXM24" s="37"/>
      <c r="BXN24" s="37"/>
      <c r="BXO24" s="37"/>
      <c r="BXP24" s="37"/>
      <c r="BXQ24" s="37"/>
      <c r="BXR24" s="37"/>
      <c r="BXS24" s="37"/>
      <c r="BXT24" s="37"/>
      <c r="BXU24" s="37"/>
      <c r="BXV24" s="37"/>
      <c r="BXW24" s="37"/>
      <c r="BXX24" s="37"/>
      <c r="BXY24" s="37"/>
      <c r="BXZ24" s="37"/>
      <c r="BYA24" s="37"/>
      <c r="BYB24" s="37"/>
      <c r="BYC24" s="37"/>
      <c r="BYD24" s="37"/>
      <c r="BYE24" s="37"/>
      <c r="BYF24" s="37"/>
      <c r="BYG24" s="37"/>
      <c r="BYH24" s="37"/>
      <c r="BYI24" s="37"/>
      <c r="BYJ24" s="37"/>
      <c r="BYK24" s="37"/>
      <c r="BYL24" s="37"/>
      <c r="BYM24" s="37"/>
      <c r="BYN24" s="37"/>
      <c r="BYO24" s="37"/>
      <c r="BYP24" s="37"/>
      <c r="BYQ24" s="37"/>
      <c r="BYR24" s="37"/>
      <c r="BYS24" s="37"/>
      <c r="BYT24" s="37"/>
      <c r="BYU24" s="37"/>
      <c r="BYV24" s="37"/>
      <c r="BYW24" s="37"/>
      <c r="BYX24" s="37"/>
      <c r="BYY24" s="37"/>
      <c r="BYZ24" s="37"/>
      <c r="BZA24" s="37"/>
      <c r="BZB24" s="37"/>
      <c r="BZC24" s="37"/>
      <c r="BZD24" s="37"/>
      <c r="BZE24" s="37"/>
      <c r="BZF24" s="37"/>
      <c r="BZG24" s="37"/>
      <c r="BZH24" s="37"/>
      <c r="BZI24" s="37"/>
      <c r="BZJ24" s="37"/>
      <c r="BZK24" s="37"/>
      <c r="BZL24" s="37"/>
      <c r="BZM24" s="37"/>
      <c r="BZN24" s="37"/>
      <c r="BZO24" s="37"/>
      <c r="BZP24" s="37"/>
      <c r="BZQ24" s="37"/>
      <c r="BZR24" s="37"/>
      <c r="BZS24" s="37"/>
      <c r="BZT24" s="37"/>
      <c r="BZU24" s="37"/>
      <c r="BZV24" s="37"/>
      <c r="BZW24" s="37"/>
      <c r="BZX24" s="37"/>
      <c r="BZY24" s="37"/>
      <c r="BZZ24" s="37"/>
      <c r="CAA24" s="37"/>
      <c r="CAB24" s="37"/>
      <c r="CAC24" s="37"/>
      <c r="CAD24" s="37"/>
      <c r="CAE24" s="37"/>
      <c r="CAF24" s="37"/>
      <c r="CAG24" s="37"/>
      <c r="CAH24" s="37"/>
      <c r="CAI24" s="37"/>
      <c r="CAJ24" s="37"/>
      <c r="CAK24" s="37"/>
      <c r="CAL24" s="37"/>
      <c r="CAM24" s="37"/>
      <c r="CAN24" s="37"/>
      <c r="CAO24" s="37"/>
      <c r="CAP24" s="37"/>
      <c r="CAQ24" s="37"/>
      <c r="CAR24" s="37"/>
      <c r="CAS24" s="37"/>
      <c r="CAT24" s="37"/>
      <c r="CAU24" s="37"/>
      <c r="CAV24" s="37"/>
      <c r="CAW24" s="37"/>
      <c r="CAX24" s="37"/>
      <c r="CAY24" s="37"/>
      <c r="CAZ24" s="37"/>
      <c r="CBA24" s="37"/>
      <c r="CBB24" s="37"/>
      <c r="CBC24" s="37"/>
      <c r="CBD24" s="37"/>
      <c r="CBE24" s="37"/>
      <c r="CBF24" s="37"/>
      <c r="CBG24" s="37"/>
      <c r="CBH24" s="37"/>
      <c r="CBI24" s="37"/>
      <c r="CBJ24" s="37"/>
      <c r="CBK24" s="37"/>
      <c r="CBL24" s="37"/>
      <c r="CBM24" s="37"/>
      <c r="CBN24" s="37"/>
      <c r="CBO24" s="37"/>
      <c r="CBP24" s="37"/>
      <c r="CBQ24" s="37"/>
      <c r="CBR24" s="37"/>
      <c r="CBS24" s="37"/>
      <c r="CBT24" s="37"/>
      <c r="CBU24" s="37"/>
      <c r="CBV24" s="37"/>
      <c r="CBW24" s="37"/>
      <c r="CBX24" s="37"/>
      <c r="CBY24" s="37"/>
      <c r="CBZ24" s="37"/>
      <c r="CCA24" s="37"/>
      <c r="CCB24" s="37"/>
      <c r="CCC24" s="37"/>
      <c r="CCD24" s="37"/>
      <c r="CCE24" s="37"/>
      <c r="CCF24" s="37"/>
      <c r="CCG24" s="37"/>
      <c r="CCH24" s="37"/>
      <c r="CCI24" s="37"/>
      <c r="CCJ24" s="37"/>
      <c r="CCK24" s="37"/>
      <c r="CCL24" s="37"/>
      <c r="CCM24" s="37"/>
      <c r="CCN24" s="37"/>
      <c r="CCO24" s="37"/>
      <c r="CCP24" s="37"/>
      <c r="CCQ24" s="37"/>
      <c r="CCR24" s="37"/>
      <c r="CCS24" s="37"/>
      <c r="CCT24" s="37"/>
      <c r="CCU24" s="37"/>
      <c r="CCV24" s="37"/>
      <c r="CCW24" s="37"/>
      <c r="CCX24" s="37"/>
      <c r="CCY24" s="37"/>
      <c r="CCZ24" s="37"/>
      <c r="CDA24" s="37"/>
      <c r="CDB24" s="37"/>
      <c r="CDC24" s="37"/>
      <c r="CDD24" s="37"/>
      <c r="CDE24" s="37"/>
      <c r="CDF24" s="37"/>
      <c r="CDG24" s="37"/>
      <c r="CDH24" s="37"/>
      <c r="CDI24" s="37"/>
      <c r="CDJ24" s="37"/>
      <c r="CDK24" s="37"/>
      <c r="CDL24" s="37"/>
      <c r="CDM24" s="37"/>
      <c r="CDN24" s="37"/>
      <c r="CDO24" s="37"/>
      <c r="CDP24" s="37"/>
      <c r="CDQ24" s="37"/>
      <c r="CDR24" s="37"/>
      <c r="CDS24" s="37"/>
      <c r="CDT24" s="37"/>
      <c r="CDU24" s="37"/>
      <c r="CDV24" s="37"/>
      <c r="CDW24" s="37"/>
      <c r="CDX24" s="37"/>
      <c r="CDY24" s="37"/>
      <c r="CDZ24" s="37"/>
      <c r="CEA24" s="37"/>
      <c r="CEB24" s="37"/>
      <c r="CEC24" s="37"/>
      <c r="CED24" s="37"/>
      <c r="CEE24" s="37"/>
      <c r="CEF24" s="37"/>
      <c r="CEG24" s="37"/>
      <c r="CEH24" s="37"/>
      <c r="CEI24" s="37"/>
      <c r="CEJ24" s="37"/>
      <c r="CEK24" s="37"/>
      <c r="CEL24" s="37"/>
      <c r="CEM24" s="37"/>
      <c r="CEN24" s="37"/>
      <c r="CEO24" s="37"/>
      <c r="CEP24" s="37"/>
      <c r="CEQ24" s="37"/>
      <c r="CER24" s="37"/>
      <c r="CES24" s="37"/>
      <c r="CET24" s="37"/>
      <c r="CEU24" s="37"/>
      <c r="CEV24" s="37"/>
      <c r="CEW24" s="37"/>
      <c r="CEX24" s="37"/>
      <c r="CEY24" s="37"/>
      <c r="CEZ24" s="37"/>
      <c r="CFA24" s="37"/>
      <c r="CFB24" s="37"/>
      <c r="CFC24" s="37"/>
      <c r="CFD24" s="37"/>
      <c r="CFE24" s="37"/>
      <c r="CFF24" s="37"/>
      <c r="CFG24" s="37"/>
      <c r="CFH24" s="37"/>
      <c r="CFI24" s="37"/>
      <c r="CFJ24" s="37"/>
      <c r="CFK24" s="37"/>
      <c r="CFL24" s="37"/>
      <c r="CFM24" s="37"/>
      <c r="CFN24" s="37"/>
      <c r="CFO24" s="37"/>
      <c r="CFP24" s="37"/>
      <c r="CFQ24" s="37"/>
      <c r="CFR24" s="37"/>
      <c r="CFS24" s="37"/>
      <c r="CFT24" s="37"/>
      <c r="CFU24" s="37"/>
      <c r="CFV24" s="37"/>
      <c r="CFW24" s="37"/>
      <c r="CFX24" s="37"/>
      <c r="CFY24" s="37"/>
      <c r="CFZ24" s="37"/>
      <c r="CGA24" s="37"/>
      <c r="CGB24" s="37"/>
      <c r="CGC24" s="37"/>
      <c r="CGD24" s="37"/>
      <c r="CGE24" s="37"/>
      <c r="CGF24" s="37"/>
      <c r="CGG24" s="37"/>
      <c r="CGH24" s="37"/>
      <c r="CGI24" s="37"/>
      <c r="CGJ24" s="37"/>
      <c r="CGK24" s="37"/>
      <c r="CGL24" s="37"/>
      <c r="CGM24" s="37"/>
      <c r="CGN24" s="37"/>
      <c r="CGO24" s="37"/>
      <c r="CGP24" s="37"/>
      <c r="CGQ24" s="37"/>
      <c r="CGR24" s="37"/>
      <c r="CGS24" s="37"/>
      <c r="CGT24" s="37"/>
      <c r="CGU24" s="37"/>
      <c r="CGV24" s="37"/>
      <c r="CGW24" s="37"/>
      <c r="CGX24" s="37"/>
      <c r="CGY24" s="37"/>
      <c r="CGZ24" s="37"/>
      <c r="CHA24" s="37"/>
      <c r="CHB24" s="37"/>
      <c r="CHC24" s="37"/>
      <c r="CHD24" s="37"/>
      <c r="CHE24" s="37"/>
      <c r="CHF24" s="37"/>
      <c r="CHG24" s="37"/>
      <c r="CHH24" s="37"/>
      <c r="CHI24" s="37"/>
      <c r="CHJ24" s="37"/>
      <c r="CHK24" s="37"/>
      <c r="CHL24" s="37"/>
      <c r="CHM24" s="37"/>
      <c r="CHN24" s="37"/>
      <c r="CHO24" s="37"/>
      <c r="CHP24" s="37"/>
      <c r="CHQ24" s="37"/>
      <c r="CHR24" s="37"/>
      <c r="CHS24" s="37"/>
      <c r="CHT24" s="37"/>
      <c r="CHU24" s="37"/>
      <c r="CHV24" s="37"/>
      <c r="CHW24" s="37"/>
      <c r="CHX24" s="37"/>
      <c r="CHY24" s="37"/>
      <c r="CHZ24" s="37"/>
      <c r="CIA24" s="37"/>
      <c r="CIB24" s="37"/>
      <c r="CIC24" s="37"/>
      <c r="CID24" s="37"/>
      <c r="CIE24" s="37"/>
      <c r="CIF24" s="37"/>
      <c r="CIG24" s="37"/>
      <c r="CIH24" s="37"/>
      <c r="CII24" s="37"/>
      <c r="CIJ24" s="37"/>
      <c r="CIK24" s="37"/>
      <c r="CIL24" s="37"/>
      <c r="CIM24" s="37"/>
      <c r="CIN24" s="37"/>
      <c r="CIO24" s="37"/>
      <c r="CIP24" s="37"/>
      <c r="CIQ24" s="37"/>
      <c r="CIR24" s="37"/>
      <c r="CIS24" s="37"/>
      <c r="CIT24" s="37"/>
      <c r="CIU24" s="37"/>
      <c r="CIV24" s="37"/>
      <c r="CIW24" s="37"/>
      <c r="CIX24" s="37"/>
      <c r="CIY24" s="37"/>
      <c r="CIZ24" s="37"/>
      <c r="CJA24" s="37"/>
      <c r="CJB24" s="37"/>
      <c r="CJC24" s="37"/>
      <c r="CJD24" s="37"/>
      <c r="CJE24" s="37"/>
      <c r="CJF24" s="37"/>
      <c r="CJG24" s="37"/>
      <c r="CJH24" s="37"/>
      <c r="CJI24" s="37"/>
      <c r="CJJ24" s="37"/>
      <c r="CJK24" s="37"/>
      <c r="CJL24" s="37"/>
      <c r="CJM24" s="37"/>
      <c r="CJN24" s="37"/>
      <c r="CJO24" s="37"/>
      <c r="CJP24" s="37"/>
      <c r="CJQ24" s="37"/>
      <c r="CJR24" s="37"/>
      <c r="CJS24" s="37"/>
      <c r="CJT24" s="37"/>
      <c r="CJU24" s="37"/>
      <c r="CJV24" s="37"/>
      <c r="CJW24" s="37"/>
      <c r="CJX24" s="37"/>
      <c r="CJY24" s="37"/>
      <c r="CJZ24" s="37"/>
      <c r="CKA24" s="37"/>
      <c r="CKB24" s="37"/>
      <c r="CKC24" s="37"/>
      <c r="CKD24" s="37"/>
      <c r="CKE24" s="37"/>
      <c r="CKF24" s="37"/>
      <c r="CKG24" s="37"/>
      <c r="CKH24" s="37"/>
      <c r="CKI24" s="37"/>
      <c r="CKJ24" s="37"/>
      <c r="CKK24" s="37"/>
      <c r="CKL24" s="37"/>
      <c r="CKM24" s="37"/>
      <c r="CKN24" s="37"/>
      <c r="CKO24" s="37"/>
      <c r="CKP24" s="37"/>
      <c r="CKQ24" s="37"/>
      <c r="CKR24" s="37"/>
      <c r="CKS24" s="37"/>
      <c r="CKT24" s="37"/>
      <c r="CKU24" s="37"/>
      <c r="CKV24" s="37"/>
      <c r="CKW24" s="37"/>
      <c r="CKX24" s="37"/>
      <c r="CKY24" s="37"/>
      <c r="CKZ24" s="37"/>
      <c r="CLA24" s="37"/>
      <c r="CLB24" s="37"/>
      <c r="CLC24" s="37"/>
      <c r="CLD24" s="37"/>
      <c r="CLE24" s="37"/>
      <c r="CLF24" s="37"/>
      <c r="CLG24" s="37"/>
      <c r="CLH24" s="37"/>
      <c r="CLI24" s="37"/>
      <c r="CLJ24" s="37"/>
      <c r="CLK24" s="37"/>
      <c r="CLL24" s="37"/>
      <c r="CLM24" s="37"/>
      <c r="CLN24" s="37"/>
      <c r="CLO24" s="37"/>
      <c r="CLP24" s="37"/>
      <c r="CLQ24" s="37"/>
      <c r="CLR24" s="37"/>
      <c r="CLS24" s="37"/>
      <c r="CLT24" s="37"/>
      <c r="CLU24" s="37"/>
      <c r="CLV24" s="37"/>
      <c r="CLW24" s="37"/>
      <c r="CLX24" s="37"/>
      <c r="CLY24" s="37"/>
      <c r="CLZ24" s="37"/>
      <c r="CMA24" s="37"/>
      <c r="CMB24" s="37"/>
      <c r="CMC24" s="37"/>
      <c r="CMD24" s="37"/>
      <c r="CME24" s="37"/>
      <c r="CMF24" s="37"/>
      <c r="CMG24" s="37"/>
      <c r="CMH24" s="37"/>
      <c r="CMI24" s="37"/>
      <c r="CMJ24" s="37"/>
      <c r="CMK24" s="37"/>
      <c r="CML24" s="37"/>
      <c r="CMM24" s="37"/>
      <c r="CMN24" s="37"/>
      <c r="CMO24" s="37"/>
      <c r="CMP24" s="37"/>
      <c r="CMQ24" s="37"/>
      <c r="CMR24" s="37"/>
      <c r="CMS24" s="37"/>
      <c r="CMT24" s="37"/>
      <c r="CMU24" s="37"/>
      <c r="CMV24" s="37"/>
      <c r="CMW24" s="37"/>
      <c r="CMX24" s="37"/>
      <c r="CMY24" s="37"/>
      <c r="CMZ24" s="37"/>
      <c r="CNA24" s="37"/>
      <c r="CNB24" s="37"/>
      <c r="CNC24" s="37"/>
      <c r="CND24" s="37"/>
      <c r="CNE24" s="37"/>
      <c r="CNF24" s="37"/>
      <c r="CNG24" s="37"/>
      <c r="CNH24" s="37"/>
      <c r="CNI24" s="37"/>
      <c r="CNJ24" s="37"/>
      <c r="CNK24" s="37"/>
      <c r="CNL24" s="37"/>
      <c r="CNM24" s="37"/>
      <c r="CNN24" s="37"/>
      <c r="CNO24" s="37"/>
      <c r="CNP24" s="37"/>
      <c r="CNQ24" s="37"/>
      <c r="CNR24" s="37"/>
      <c r="CNS24" s="37"/>
      <c r="CNT24" s="37"/>
      <c r="CNU24" s="37"/>
      <c r="CNV24" s="37"/>
      <c r="CNW24" s="37"/>
      <c r="CNX24" s="37"/>
      <c r="CNY24" s="37"/>
      <c r="CNZ24" s="37"/>
      <c r="COA24" s="37"/>
      <c r="COB24" s="37"/>
      <c r="COC24" s="37"/>
      <c r="COD24" s="37"/>
      <c r="COE24" s="37"/>
      <c r="COF24" s="37"/>
      <c r="COG24" s="37"/>
      <c r="COH24" s="37"/>
      <c r="COI24" s="37"/>
      <c r="COJ24" s="37"/>
      <c r="COK24" s="37"/>
      <c r="COL24" s="37"/>
      <c r="COM24" s="37"/>
      <c r="CON24" s="37"/>
      <c r="COO24" s="37"/>
      <c r="COP24" s="37"/>
      <c r="COQ24" s="37"/>
      <c r="COR24" s="37"/>
      <c r="COS24" s="37"/>
      <c r="COT24" s="37"/>
      <c r="COU24" s="37"/>
      <c r="COV24" s="37"/>
      <c r="COW24" s="37"/>
      <c r="COX24" s="37"/>
      <c r="COY24" s="37"/>
      <c r="COZ24" s="37"/>
      <c r="CPA24" s="37"/>
      <c r="CPB24" s="37"/>
      <c r="CPC24" s="37"/>
      <c r="CPD24" s="37"/>
      <c r="CPE24" s="37"/>
      <c r="CPF24" s="37"/>
      <c r="CPG24" s="37"/>
      <c r="CPH24" s="37"/>
      <c r="CPI24" s="37"/>
      <c r="CPJ24" s="37"/>
      <c r="CPK24" s="37"/>
      <c r="CPL24" s="37"/>
      <c r="CPM24" s="37"/>
      <c r="CPN24" s="37"/>
      <c r="CPO24" s="37"/>
      <c r="CPP24" s="37"/>
      <c r="CPQ24" s="37"/>
      <c r="CPR24" s="37"/>
      <c r="CPS24" s="37"/>
      <c r="CPT24" s="37"/>
      <c r="CPU24" s="37"/>
      <c r="CPV24" s="37"/>
      <c r="CPW24" s="37"/>
      <c r="CPX24" s="37"/>
      <c r="CPY24" s="37"/>
      <c r="CPZ24" s="37"/>
      <c r="CQA24" s="37"/>
      <c r="CQB24" s="37"/>
      <c r="CQC24" s="37"/>
      <c r="CQD24" s="37"/>
      <c r="CQE24" s="37"/>
      <c r="CQF24" s="37"/>
      <c r="CQG24" s="37"/>
      <c r="CQH24" s="37"/>
      <c r="CQI24" s="37"/>
      <c r="CQJ24" s="37"/>
      <c r="CQK24" s="37"/>
      <c r="CQL24" s="37"/>
      <c r="CQM24" s="37"/>
      <c r="CQN24" s="37"/>
      <c r="CQO24" s="37"/>
      <c r="CQP24" s="37"/>
      <c r="CQQ24" s="37"/>
      <c r="CQR24" s="37"/>
      <c r="CQS24" s="37"/>
      <c r="CQT24" s="37"/>
      <c r="CQU24" s="37"/>
      <c r="CQV24" s="37"/>
      <c r="CQW24" s="37"/>
      <c r="CQX24" s="37"/>
      <c r="CQY24" s="37"/>
      <c r="CQZ24" s="37"/>
      <c r="CRA24" s="37"/>
      <c r="CRB24" s="37"/>
      <c r="CRC24" s="37"/>
      <c r="CRD24" s="37"/>
      <c r="CRE24" s="37"/>
      <c r="CRF24" s="37"/>
      <c r="CRG24" s="37"/>
      <c r="CRH24" s="37"/>
      <c r="CRI24" s="37"/>
      <c r="CRJ24" s="37"/>
      <c r="CRK24" s="37"/>
      <c r="CRL24" s="37"/>
      <c r="CRM24" s="37"/>
      <c r="CRN24" s="37"/>
      <c r="CRO24" s="37"/>
      <c r="CRP24" s="37"/>
      <c r="CRQ24" s="37"/>
      <c r="CRR24" s="37"/>
      <c r="CRS24" s="37"/>
      <c r="CRT24" s="37"/>
      <c r="CRU24" s="37"/>
      <c r="CRV24" s="37"/>
      <c r="CRW24" s="37"/>
      <c r="CRX24" s="37"/>
      <c r="CRY24" s="37"/>
      <c r="CRZ24" s="37"/>
      <c r="CSA24" s="37"/>
      <c r="CSB24" s="37"/>
      <c r="CSC24" s="37"/>
      <c r="CSD24" s="37"/>
      <c r="CSE24" s="37"/>
      <c r="CSF24" s="37"/>
      <c r="CSG24" s="37"/>
      <c r="CSH24" s="37"/>
      <c r="CSI24" s="37"/>
      <c r="CSJ24" s="37"/>
      <c r="CSK24" s="37"/>
      <c r="CSL24" s="37"/>
      <c r="CSM24" s="37"/>
      <c r="CSN24" s="37"/>
      <c r="CSO24" s="37"/>
      <c r="CSP24" s="37"/>
      <c r="CSQ24" s="37"/>
      <c r="CSR24" s="37"/>
      <c r="CSS24" s="37"/>
      <c r="CST24" s="37"/>
      <c r="CSU24" s="37"/>
      <c r="CSV24" s="37"/>
      <c r="CSW24" s="37"/>
      <c r="CSX24" s="37"/>
      <c r="CSY24" s="37"/>
      <c r="CSZ24" s="37"/>
      <c r="CTA24" s="37"/>
      <c r="CTB24" s="37"/>
      <c r="CTC24" s="37"/>
      <c r="CTD24" s="37"/>
      <c r="CTE24" s="37"/>
      <c r="CTF24" s="37"/>
      <c r="CTG24" s="37"/>
      <c r="CTH24" s="37"/>
      <c r="CTI24" s="37"/>
      <c r="CTJ24" s="37"/>
      <c r="CTK24" s="37"/>
      <c r="CTL24" s="37"/>
      <c r="CTM24" s="37"/>
      <c r="CTN24" s="37"/>
      <c r="CTO24" s="37"/>
      <c r="CTP24" s="37"/>
      <c r="CTQ24" s="37"/>
      <c r="CTR24" s="37"/>
      <c r="CTS24" s="37"/>
      <c r="CTT24" s="37"/>
      <c r="CTU24" s="37"/>
      <c r="CTV24" s="37"/>
      <c r="CTW24" s="37"/>
      <c r="CTX24" s="37"/>
      <c r="CTY24" s="37"/>
      <c r="CTZ24" s="37"/>
      <c r="CUA24" s="37"/>
      <c r="CUB24" s="37"/>
      <c r="CUC24" s="37"/>
      <c r="CUD24" s="37"/>
      <c r="CUE24" s="37"/>
      <c r="CUF24" s="37"/>
      <c r="CUG24" s="37"/>
      <c r="CUH24" s="37"/>
      <c r="CUI24" s="37"/>
      <c r="CUJ24" s="37"/>
      <c r="CUK24" s="37"/>
      <c r="CUL24" s="37"/>
      <c r="CUM24" s="37"/>
      <c r="CUN24" s="37"/>
      <c r="CUO24" s="37"/>
      <c r="CUP24" s="37"/>
      <c r="CUQ24" s="37"/>
      <c r="CUR24" s="37"/>
      <c r="CUS24" s="37"/>
      <c r="CUT24" s="37"/>
      <c r="CUU24" s="37"/>
      <c r="CUV24" s="37"/>
      <c r="CUW24" s="37"/>
      <c r="CUX24" s="37"/>
      <c r="CUY24" s="37"/>
      <c r="CUZ24" s="37"/>
      <c r="CVA24" s="37"/>
      <c r="CVB24" s="37"/>
      <c r="CVC24" s="37"/>
      <c r="CVD24" s="37"/>
      <c r="CVE24" s="37"/>
      <c r="CVF24" s="37"/>
      <c r="CVG24" s="37"/>
      <c r="CVH24" s="37"/>
      <c r="CVI24" s="37"/>
      <c r="CVJ24" s="37"/>
      <c r="CVK24" s="37"/>
      <c r="CVL24" s="37"/>
      <c r="CVM24" s="37"/>
      <c r="CVN24" s="37"/>
      <c r="CVO24" s="37"/>
      <c r="CVP24" s="37"/>
      <c r="CVQ24" s="37"/>
      <c r="CVR24" s="37"/>
      <c r="CVS24" s="37"/>
      <c r="CVT24" s="37"/>
      <c r="CVU24" s="37"/>
      <c r="CVV24" s="37"/>
      <c r="CVW24" s="37"/>
      <c r="CVX24" s="37"/>
      <c r="CVY24" s="37"/>
      <c r="CVZ24" s="37"/>
      <c r="CWA24" s="37"/>
      <c r="CWB24" s="37"/>
      <c r="CWC24" s="37"/>
      <c r="CWD24" s="37"/>
      <c r="CWE24" s="37"/>
      <c r="CWF24" s="37"/>
      <c r="CWG24" s="37"/>
      <c r="CWH24" s="37"/>
      <c r="CWI24" s="37"/>
      <c r="CWJ24" s="37"/>
      <c r="CWK24" s="37"/>
      <c r="CWL24" s="37"/>
      <c r="CWM24" s="37"/>
      <c r="CWN24" s="37"/>
      <c r="CWO24" s="37"/>
      <c r="CWP24" s="37"/>
      <c r="CWQ24" s="37"/>
      <c r="CWR24" s="37"/>
      <c r="CWS24" s="37"/>
      <c r="CWT24" s="37"/>
      <c r="CWU24" s="37"/>
      <c r="CWV24" s="37"/>
      <c r="CWW24" s="37"/>
      <c r="CWX24" s="37"/>
      <c r="CWY24" s="37"/>
      <c r="CWZ24" s="37"/>
      <c r="CXA24" s="37"/>
      <c r="CXB24" s="37"/>
      <c r="CXC24" s="37"/>
      <c r="CXD24" s="37"/>
      <c r="CXE24" s="37"/>
      <c r="CXF24" s="37"/>
      <c r="CXG24" s="37"/>
      <c r="CXH24" s="37"/>
      <c r="CXI24" s="37"/>
      <c r="CXJ24" s="37"/>
      <c r="CXK24" s="37"/>
      <c r="CXL24" s="37"/>
      <c r="CXM24" s="37"/>
      <c r="CXN24" s="37"/>
      <c r="CXO24" s="37"/>
      <c r="CXP24" s="37"/>
      <c r="CXQ24" s="37"/>
      <c r="CXR24" s="37"/>
      <c r="CXS24" s="37"/>
      <c r="CXT24" s="37"/>
      <c r="CXU24" s="37"/>
      <c r="CXV24" s="37"/>
      <c r="CXW24" s="37"/>
      <c r="CXX24" s="37"/>
      <c r="CXY24" s="37"/>
      <c r="CXZ24" s="37"/>
      <c r="CYA24" s="37"/>
      <c r="CYB24" s="37"/>
      <c r="CYC24" s="37"/>
      <c r="CYD24" s="37"/>
      <c r="CYE24" s="37"/>
      <c r="CYF24" s="37"/>
      <c r="CYG24" s="37"/>
      <c r="CYH24" s="37"/>
      <c r="CYI24" s="37"/>
      <c r="CYJ24" s="37"/>
      <c r="CYK24" s="37"/>
      <c r="CYL24" s="37"/>
      <c r="CYM24" s="37"/>
      <c r="CYN24" s="37"/>
      <c r="CYO24" s="37"/>
      <c r="CYP24" s="37"/>
      <c r="CYQ24" s="37"/>
      <c r="CYR24" s="37"/>
      <c r="CYS24" s="37"/>
      <c r="CYT24" s="37"/>
      <c r="CYU24" s="37"/>
      <c r="CYV24" s="37"/>
      <c r="CYW24" s="37"/>
      <c r="CYX24" s="37"/>
      <c r="CYY24" s="37"/>
      <c r="CYZ24" s="37"/>
      <c r="CZA24" s="37"/>
      <c r="CZB24" s="37"/>
      <c r="CZC24" s="37"/>
      <c r="CZD24" s="37"/>
      <c r="CZE24" s="37"/>
      <c r="CZF24" s="37"/>
      <c r="CZG24" s="37"/>
      <c r="CZH24" s="37"/>
      <c r="CZI24" s="37"/>
      <c r="CZJ24" s="37"/>
      <c r="CZK24" s="37"/>
      <c r="CZL24" s="37"/>
      <c r="CZM24" s="37"/>
      <c r="CZN24" s="37"/>
      <c r="CZO24" s="37"/>
      <c r="CZP24" s="37"/>
      <c r="CZQ24" s="37"/>
      <c r="CZR24" s="37"/>
      <c r="CZS24" s="37"/>
      <c r="CZT24" s="37"/>
      <c r="CZU24" s="37"/>
      <c r="CZV24" s="37"/>
      <c r="CZW24" s="37"/>
      <c r="CZX24" s="37"/>
      <c r="CZY24" s="37"/>
      <c r="CZZ24" s="37"/>
      <c r="DAA24" s="37"/>
      <c r="DAB24" s="37"/>
      <c r="DAC24" s="37"/>
      <c r="DAD24" s="37"/>
      <c r="DAE24" s="37"/>
      <c r="DAF24" s="37"/>
      <c r="DAG24" s="37"/>
      <c r="DAH24" s="37"/>
      <c r="DAI24" s="37"/>
      <c r="DAJ24" s="37"/>
      <c r="DAK24" s="37"/>
      <c r="DAL24" s="37"/>
      <c r="DAM24" s="37"/>
      <c r="DAN24" s="37"/>
      <c r="DAO24" s="37"/>
      <c r="DAP24" s="37"/>
      <c r="DAQ24" s="37"/>
      <c r="DAR24" s="37"/>
      <c r="DAS24" s="37"/>
      <c r="DAT24" s="37"/>
      <c r="DAU24" s="37"/>
      <c r="DAV24" s="37"/>
      <c r="DAW24" s="37"/>
      <c r="DAX24" s="37"/>
      <c r="DAY24" s="37"/>
      <c r="DAZ24" s="37"/>
      <c r="DBA24" s="37"/>
      <c r="DBB24" s="37"/>
      <c r="DBC24" s="37"/>
      <c r="DBD24" s="37"/>
      <c r="DBE24" s="37"/>
      <c r="DBF24" s="37"/>
      <c r="DBG24" s="37"/>
      <c r="DBH24" s="37"/>
      <c r="DBI24" s="37"/>
      <c r="DBJ24" s="37"/>
      <c r="DBK24" s="37"/>
      <c r="DBL24" s="37"/>
      <c r="DBM24" s="37"/>
      <c r="DBN24" s="37"/>
      <c r="DBO24" s="37"/>
      <c r="DBP24" s="37"/>
      <c r="DBQ24" s="37"/>
      <c r="DBR24" s="37"/>
      <c r="DBS24" s="37"/>
      <c r="DBT24" s="37"/>
      <c r="DBU24" s="37"/>
      <c r="DBV24" s="37"/>
      <c r="DBW24" s="37"/>
      <c r="DBX24" s="37"/>
      <c r="DBY24" s="37"/>
      <c r="DBZ24" s="37"/>
      <c r="DCA24" s="37"/>
      <c r="DCB24" s="37"/>
      <c r="DCC24" s="37"/>
      <c r="DCD24" s="37"/>
      <c r="DCE24" s="37"/>
      <c r="DCF24" s="37"/>
      <c r="DCG24" s="37"/>
      <c r="DCH24" s="37"/>
      <c r="DCI24" s="37"/>
      <c r="DCJ24" s="37"/>
      <c r="DCK24" s="37"/>
      <c r="DCL24" s="37"/>
      <c r="DCM24" s="37"/>
      <c r="DCN24" s="37"/>
      <c r="DCO24" s="37"/>
      <c r="DCP24" s="37"/>
      <c r="DCQ24" s="37"/>
      <c r="DCR24" s="37"/>
      <c r="DCS24" s="37"/>
      <c r="DCT24" s="37"/>
      <c r="DCU24" s="37"/>
      <c r="DCV24" s="37"/>
      <c r="DCW24" s="37"/>
      <c r="DCX24" s="37"/>
      <c r="DCY24" s="37"/>
      <c r="DCZ24" s="37"/>
      <c r="DDA24" s="37"/>
      <c r="DDB24" s="37"/>
      <c r="DDC24" s="37"/>
      <c r="DDD24" s="37"/>
      <c r="DDE24" s="37"/>
      <c r="DDF24" s="37"/>
      <c r="DDG24" s="37"/>
      <c r="DDH24" s="37"/>
      <c r="DDI24" s="37"/>
      <c r="DDJ24" s="37"/>
      <c r="DDK24" s="37"/>
      <c r="DDL24" s="37"/>
      <c r="DDM24" s="37"/>
      <c r="DDN24" s="37"/>
      <c r="DDO24" s="37"/>
      <c r="DDP24" s="37"/>
      <c r="DDQ24" s="37"/>
      <c r="DDR24" s="37"/>
      <c r="DDS24" s="37"/>
      <c r="DDT24" s="37"/>
      <c r="DDU24" s="37"/>
      <c r="DDV24" s="37"/>
      <c r="DDW24" s="37"/>
      <c r="DDX24" s="37"/>
      <c r="DDY24" s="37"/>
      <c r="DDZ24" s="37"/>
      <c r="DEA24" s="37"/>
      <c r="DEB24" s="37"/>
      <c r="DEC24" s="37"/>
      <c r="DED24" s="37"/>
      <c r="DEE24" s="37"/>
      <c r="DEF24" s="37"/>
      <c r="DEG24" s="37"/>
      <c r="DEH24" s="37"/>
      <c r="DEI24" s="37"/>
      <c r="DEJ24" s="37"/>
      <c r="DEK24" s="37"/>
      <c r="DEL24" s="37"/>
      <c r="DEM24" s="37"/>
      <c r="DEN24" s="37"/>
      <c r="DEO24" s="37"/>
      <c r="DEP24" s="37"/>
      <c r="DEQ24" s="37"/>
      <c r="DER24" s="37"/>
      <c r="DES24" s="37"/>
      <c r="DET24" s="37"/>
      <c r="DEU24" s="37"/>
      <c r="DEV24" s="37"/>
      <c r="DEW24" s="37"/>
      <c r="DEX24" s="37"/>
      <c r="DEY24" s="37"/>
      <c r="DEZ24" s="37"/>
      <c r="DFA24" s="37"/>
      <c r="DFB24" s="37"/>
      <c r="DFC24" s="37"/>
      <c r="DFD24" s="37"/>
      <c r="DFE24" s="37"/>
      <c r="DFF24" s="37"/>
      <c r="DFG24" s="37"/>
      <c r="DFH24" s="37"/>
      <c r="DFI24" s="37"/>
      <c r="DFJ24" s="37"/>
      <c r="DFK24" s="37"/>
      <c r="DFL24" s="37"/>
      <c r="DFM24" s="37"/>
      <c r="DFN24" s="37"/>
      <c r="DFO24" s="37"/>
      <c r="DFP24" s="37"/>
      <c r="DFQ24" s="37"/>
      <c r="DFR24" s="37"/>
      <c r="DFS24" s="37"/>
      <c r="DFT24" s="37"/>
      <c r="DFU24" s="37"/>
      <c r="DFV24" s="37"/>
      <c r="DFW24" s="37"/>
      <c r="DFX24" s="37"/>
      <c r="DFY24" s="37"/>
      <c r="DFZ24" s="37"/>
      <c r="DGA24" s="37"/>
      <c r="DGB24" s="37"/>
      <c r="DGC24" s="37"/>
      <c r="DGD24" s="37"/>
      <c r="DGE24" s="37"/>
      <c r="DGF24" s="37"/>
      <c r="DGG24" s="37"/>
      <c r="DGH24" s="37"/>
      <c r="DGI24" s="37"/>
      <c r="DGJ24" s="37"/>
      <c r="DGK24" s="37"/>
      <c r="DGL24" s="37"/>
      <c r="DGM24" s="37"/>
      <c r="DGN24" s="37"/>
      <c r="DGO24" s="37"/>
      <c r="DGP24" s="37"/>
      <c r="DGQ24" s="37"/>
      <c r="DGR24" s="37"/>
      <c r="DGS24" s="37"/>
      <c r="DGT24" s="37"/>
      <c r="DGU24" s="37"/>
      <c r="DGV24" s="37"/>
      <c r="DGW24" s="37"/>
      <c r="DGX24" s="37"/>
      <c r="DGY24" s="37"/>
      <c r="DGZ24" s="37"/>
      <c r="DHA24" s="37"/>
      <c r="DHB24" s="37"/>
      <c r="DHC24" s="37"/>
      <c r="DHD24" s="37"/>
      <c r="DHE24" s="37"/>
      <c r="DHF24" s="37"/>
      <c r="DHG24" s="37"/>
      <c r="DHH24" s="37"/>
      <c r="DHI24" s="37"/>
      <c r="DHJ24" s="37"/>
      <c r="DHK24" s="37"/>
      <c r="DHL24" s="37"/>
      <c r="DHM24" s="37"/>
      <c r="DHN24" s="37"/>
      <c r="DHO24" s="37"/>
      <c r="DHP24" s="37"/>
      <c r="DHQ24" s="37"/>
      <c r="DHR24" s="37"/>
      <c r="DHS24" s="37"/>
      <c r="DHT24" s="37"/>
      <c r="DHU24" s="37"/>
      <c r="DHV24" s="37"/>
      <c r="DHW24" s="37"/>
      <c r="DHX24" s="37"/>
      <c r="DHY24" s="37"/>
      <c r="DHZ24" s="37"/>
      <c r="DIA24" s="37"/>
      <c r="DIB24" s="37"/>
      <c r="DIC24" s="37"/>
      <c r="DID24" s="37"/>
      <c r="DIE24" s="37"/>
      <c r="DIF24" s="37"/>
      <c r="DIG24" s="37"/>
      <c r="DIH24" s="37"/>
      <c r="DII24" s="37"/>
      <c r="DIJ24" s="37"/>
      <c r="DIK24" s="37"/>
      <c r="DIL24" s="37"/>
      <c r="DIM24" s="37"/>
      <c r="DIN24" s="37"/>
      <c r="DIO24" s="37"/>
      <c r="DIP24" s="37"/>
      <c r="DIQ24" s="37"/>
      <c r="DIR24" s="37"/>
      <c r="DIS24" s="37"/>
      <c r="DIT24" s="37"/>
      <c r="DIU24" s="37"/>
      <c r="DIV24" s="37"/>
      <c r="DIW24" s="37"/>
      <c r="DIX24" s="37"/>
      <c r="DIY24" s="37"/>
      <c r="DIZ24" s="37"/>
      <c r="DJA24" s="37"/>
      <c r="DJB24" s="37"/>
      <c r="DJC24" s="37"/>
      <c r="DJD24" s="37"/>
      <c r="DJE24" s="37"/>
      <c r="DJF24" s="37"/>
      <c r="DJG24" s="37"/>
      <c r="DJH24" s="37"/>
      <c r="DJI24" s="37"/>
      <c r="DJJ24" s="37"/>
      <c r="DJK24" s="37"/>
      <c r="DJL24" s="37"/>
      <c r="DJM24" s="37"/>
      <c r="DJN24" s="37"/>
      <c r="DJO24" s="37"/>
      <c r="DJP24" s="37"/>
      <c r="DJQ24" s="37"/>
      <c r="DJR24" s="37"/>
      <c r="DJS24" s="37"/>
      <c r="DJT24" s="37"/>
      <c r="DJU24" s="37"/>
      <c r="DJV24" s="37"/>
      <c r="DJW24" s="37"/>
      <c r="DJX24" s="37"/>
      <c r="DJY24" s="37"/>
      <c r="DJZ24" s="37"/>
      <c r="DKA24" s="37"/>
      <c r="DKB24" s="37"/>
      <c r="DKC24" s="37"/>
      <c r="DKD24" s="37"/>
      <c r="DKE24" s="37"/>
      <c r="DKF24" s="37"/>
      <c r="DKG24" s="37"/>
      <c r="DKH24" s="37"/>
      <c r="DKI24" s="37"/>
      <c r="DKJ24" s="37"/>
      <c r="DKK24" s="37"/>
      <c r="DKL24" s="37"/>
      <c r="DKM24" s="37"/>
      <c r="DKN24" s="37"/>
      <c r="DKO24" s="37"/>
      <c r="DKP24" s="37"/>
      <c r="DKQ24" s="37"/>
      <c r="DKR24" s="37"/>
      <c r="DKS24" s="37"/>
      <c r="DKT24" s="37"/>
      <c r="DKU24" s="37"/>
      <c r="DKV24" s="37"/>
      <c r="DKW24" s="37"/>
      <c r="DKX24" s="37"/>
      <c r="DKY24" s="37"/>
      <c r="DKZ24" s="37"/>
      <c r="DLA24" s="37"/>
      <c r="DLB24" s="37"/>
      <c r="DLC24" s="37"/>
      <c r="DLD24" s="37"/>
      <c r="DLE24" s="37"/>
      <c r="DLF24" s="37"/>
      <c r="DLG24" s="37"/>
      <c r="DLH24" s="37"/>
      <c r="DLI24" s="37"/>
      <c r="DLJ24" s="37"/>
      <c r="DLK24" s="37"/>
      <c r="DLL24" s="37"/>
      <c r="DLM24" s="37"/>
      <c r="DLN24" s="37"/>
      <c r="DLO24" s="37"/>
      <c r="DLP24" s="37"/>
      <c r="DLQ24" s="37"/>
      <c r="DLR24" s="37"/>
      <c r="DLS24" s="37"/>
      <c r="DLT24" s="37"/>
      <c r="DLU24" s="37"/>
      <c r="DLV24" s="37"/>
      <c r="DLW24" s="37"/>
      <c r="DLX24" s="37"/>
      <c r="DLY24" s="37"/>
      <c r="DLZ24" s="37"/>
      <c r="DMA24" s="37"/>
      <c r="DMB24" s="37"/>
      <c r="DMC24" s="37"/>
      <c r="DMD24" s="37"/>
      <c r="DME24" s="37"/>
      <c r="DMF24" s="37"/>
      <c r="DMG24" s="37"/>
      <c r="DMH24" s="37"/>
      <c r="DMI24" s="37"/>
      <c r="DMJ24" s="37"/>
      <c r="DMK24" s="37"/>
      <c r="DML24" s="37"/>
      <c r="DMM24" s="37"/>
      <c r="DMN24" s="37"/>
      <c r="DMO24" s="37"/>
      <c r="DMP24" s="37"/>
      <c r="DMQ24" s="37"/>
      <c r="DMR24" s="37"/>
      <c r="DMS24" s="37"/>
      <c r="DMT24" s="37"/>
      <c r="DMU24" s="37"/>
      <c r="DMV24" s="37"/>
      <c r="DMW24" s="37"/>
      <c r="DMX24" s="37"/>
      <c r="DMY24" s="37"/>
      <c r="DMZ24" s="37"/>
      <c r="DNA24" s="37"/>
      <c r="DNB24" s="37"/>
      <c r="DNC24" s="37"/>
      <c r="DND24" s="37"/>
      <c r="DNE24" s="37"/>
      <c r="DNF24" s="37"/>
      <c r="DNG24" s="37"/>
      <c r="DNH24" s="37"/>
      <c r="DNI24" s="37"/>
      <c r="DNJ24" s="37"/>
      <c r="DNK24" s="37"/>
      <c r="DNL24" s="37"/>
      <c r="DNM24" s="37"/>
      <c r="DNN24" s="37"/>
      <c r="DNO24" s="37"/>
      <c r="DNP24" s="37"/>
      <c r="DNQ24" s="37"/>
      <c r="DNR24" s="37"/>
      <c r="DNS24" s="37"/>
      <c r="DNT24" s="37"/>
      <c r="DNU24" s="37"/>
      <c r="DNV24" s="37"/>
      <c r="DNW24" s="37"/>
      <c r="DNX24" s="37"/>
      <c r="DNY24" s="37"/>
      <c r="DNZ24" s="37"/>
      <c r="DOA24" s="37"/>
      <c r="DOB24" s="37"/>
      <c r="DOC24" s="37"/>
      <c r="DOD24" s="37"/>
      <c r="DOE24" s="37"/>
      <c r="DOF24" s="37"/>
      <c r="DOG24" s="37"/>
      <c r="DOH24" s="37"/>
      <c r="DOI24" s="37"/>
      <c r="DOJ24" s="37"/>
      <c r="DOK24" s="37"/>
      <c r="DOL24" s="37"/>
      <c r="DOM24" s="37"/>
      <c r="DON24" s="37"/>
      <c r="DOO24" s="37"/>
      <c r="DOP24" s="37"/>
      <c r="DOQ24" s="37"/>
      <c r="DOR24" s="37"/>
      <c r="DOS24" s="37"/>
      <c r="DOT24" s="37"/>
      <c r="DOU24" s="37"/>
      <c r="DOV24" s="37"/>
      <c r="DOW24" s="37"/>
      <c r="DOX24" s="37"/>
      <c r="DOY24" s="37"/>
      <c r="DOZ24" s="37"/>
      <c r="DPA24" s="37"/>
      <c r="DPB24" s="37"/>
      <c r="DPC24" s="37"/>
      <c r="DPD24" s="37"/>
      <c r="DPE24" s="37"/>
      <c r="DPF24" s="37"/>
      <c r="DPG24" s="37"/>
      <c r="DPH24" s="37"/>
      <c r="DPI24" s="37"/>
      <c r="DPJ24" s="37"/>
      <c r="DPK24" s="37"/>
      <c r="DPL24" s="37"/>
      <c r="DPM24" s="37"/>
      <c r="DPN24" s="37"/>
      <c r="DPO24" s="37"/>
      <c r="DPP24" s="37"/>
      <c r="DPQ24" s="37"/>
      <c r="DPR24" s="37"/>
      <c r="DPS24" s="37"/>
      <c r="DPT24" s="37"/>
      <c r="DPU24" s="37"/>
      <c r="DPV24" s="37"/>
      <c r="DPW24" s="37"/>
      <c r="DPX24" s="37"/>
      <c r="DPY24" s="37"/>
      <c r="DPZ24" s="37"/>
      <c r="DQA24" s="37"/>
      <c r="DQB24" s="37"/>
      <c r="DQC24" s="37"/>
      <c r="DQD24" s="37"/>
      <c r="DQE24" s="37"/>
      <c r="DQF24" s="37"/>
      <c r="DQG24" s="37"/>
      <c r="DQH24" s="37"/>
      <c r="DQI24" s="37"/>
      <c r="DQJ24" s="37"/>
      <c r="DQK24" s="37"/>
      <c r="DQL24" s="37"/>
      <c r="DQM24" s="37"/>
      <c r="DQN24" s="37"/>
      <c r="DQO24" s="37"/>
      <c r="DQP24" s="37"/>
      <c r="DQQ24" s="37"/>
      <c r="DQR24" s="37"/>
      <c r="DQS24" s="37"/>
      <c r="DQT24" s="37"/>
      <c r="DQU24" s="37"/>
      <c r="DQV24" s="37"/>
      <c r="DQW24" s="37"/>
      <c r="DQX24" s="37"/>
      <c r="DQY24" s="37"/>
      <c r="DQZ24" s="37"/>
      <c r="DRA24" s="37"/>
      <c r="DRB24" s="37"/>
      <c r="DRC24" s="37"/>
      <c r="DRD24" s="37"/>
      <c r="DRE24" s="37"/>
      <c r="DRF24" s="37"/>
      <c r="DRG24" s="37"/>
      <c r="DRH24" s="37"/>
      <c r="DRI24" s="37"/>
      <c r="DRJ24" s="37"/>
      <c r="DRK24" s="37"/>
      <c r="DRL24" s="37"/>
      <c r="DRM24" s="37"/>
      <c r="DRN24" s="37"/>
      <c r="DRO24" s="37"/>
      <c r="DRP24" s="37"/>
      <c r="DRQ24" s="37"/>
      <c r="DRR24" s="37"/>
      <c r="DRS24" s="37"/>
      <c r="DRT24" s="37"/>
      <c r="DRU24" s="37"/>
      <c r="DRV24" s="37"/>
      <c r="DRW24" s="37"/>
      <c r="DRX24" s="37"/>
      <c r="DRY24" s="37"/>
      <c r="DRZ24" s="37"/>
      <c r="DSA24" s="37"/>
      <c r="DSB24" s="37"/>
      <c r="DSC24" s="37"/>
      <c r="DSD24" s="37"/>
      <c r="DSE24" s="37"/>
      <c r="DSF24" s="37"/>
      <c r="DSG24" s="37"/>
      <c r="DSH24" s="37"/>
      <c r="DSI24" s="37"/>
      <c r="DSJ24" s="37"/>
      <c r="DSK24" s="37"/>
      <c r="DSL24" s="37"/>
      <c r="DSM24" s="37"/>
      <c r="DSN24" s="37"/>
      <c r="DSO24" s="37"/>
      <c r="DSP24" s="37"/>
      <c r="DSQ24" s="37"/>
      <c r="DSR24" s="37"/>
      <c r="DSS24" s="37"/>
      <c r="DST24" s="37"/>
      <c r="DSU24" s="37"/>
      <c r="DSV24" s="37"/>
      <c r="DSW24" s="37"/>
      <c r="DSX24" s="37"/>
      <c r="DSY24" s="37"/>
      <c r="DSZ24" s="37"/>
      <c r="DTA24" s="37"/>
      <c r="DTB24" s="37"/>
      <c r="DTC24" s="37"/>
      <c r="DTD24" s="37"/>
      <c r="DTE24" s="37"/>
      <c r="DTF24" s="37"/>
      <c r="DTG24" s="37"/>
      <c r="DTH24" s="37"/>
      <c r="DTI24" s="37"/>
      <c r="DTJ24" s="37"/>
      <c r="DTK24" s="37"/>
      <c r="DTL24" s="37"/>
      <c r="DTM24" s="37"/>
      <c r="DTN24" s="37"/>
      <c r="DTO24" s="37"/>
      <c r="DTP24" s="37"/>
      <c r="DTQ24" s="37"/>
      <c r="DTR24" s="37"/>
      <c r="DTS24" s="37"/>
      <c r="DTT24" s="37"/>
      <c r="DTU24" s="37"/>
      <c r="DTV24" s="37"/>
      <c r="DTW24" s="37"/>
      <c r="DTX24" s="37"/>
      <c r="DTY24" s="37"/>
      <c r="DTZ24" s="37"/>
      <c r="DUA24" s="37"/>
      <c r="DUB24" s="37"/>
      <c r="DUC24" s="37"/>
      <c r="DUD24" s="37"/>
      <c r="DUE24" s="37"/>
      <c r="DUF24" s="37"/>
      <c r="DUG24" s="37"/>
      <c r="DUH24" s="37"/>
      <c r="DUI24" s="37"/>
      <c r="DUJ24" s="37"/>
      <c r="DUK24" s="37"/>
      <c r="DUL24" s="37"/>
      <c r="DUM24" s="37"/>
      <c r="DUN24" s="37"/>
      <c r="DUO24" s="37"/>
      <c r="DUP24" s="37"/>
      <c r="DUQ24" s="37"/>
      <c r="DUR24" s="37"/>
      <c r="DUS24" s="37"/>
      <c r="DUT24" s="37"/>
      <c r="DUU24" s="37"/>
      <c r="DUV24" s="37"/>
      <c r="DUW24" s="37"/>
      <c r="DUX24" s="37"/>
      <c r="DUY24" s="37"/>
      <c r="DUZ24" s="37"/>
      <c r="DVA24" s="37"/>
      <c r="DVB24" s="37"/>
      <c r="DVC24" s="37"/>
      <c r="DVD24" s="37"/>
      <c r="DVE24" s="37"/>
      <c r="DVF24" s="37"/>
      <c r="DVG24" s="37"/>
      <c r="DVH24" s="37"/>
      <c r="DVI24" s="37"/>
      <c r="DVJ24" s="37"/>
      <c r="DVK24" s="37"/>
      <c r="DVL24" s="37"/>
      <c r="DVM24" s="37"/>
      <c r="DVN24" s="37"/>
      <c r="DVO24" s="37"/>
      <c r="DVP24" s="37"/>
      <c r="DVQ24" s="37"/>
      <c r="DVR24" s="37"/>
      <c r="DVS24" s="37"/>
      <c r="DVT24" s="37"/>
      <c r="DVU24" s="37"/>
      <c r="DVV24" s="37"/>
      <c r="DVW24" s="37"/>
      <c r="DVX24" s="37"/>
      <c r="DVY24" s="37"/>
      <c r="DVZ24" s="37"/>
      <c r="DWA24" s="37"/>
      <c r="DWB24" s="37"/>
      <c r="DWC24" s="37"/>
      <c r="DWD24" s="37"/>
      <c r="DWE24" s="37"/>
      <c r="DWF24" s="37"/>
      <c r="DWG24" s="37"/>
      <c r="DWH24" s="37"/>
      <c r="DWI24" s="37"/>
      <c r="DWJ24" s="37"/>
      <c r="DWK24" s="37"/>
      <c r="DWL24" s="37"/>
      <c r="DWM24" s="37"/>
      <c r="DWN24" s="37"/>
      <c r="DWO24" s="37"/>
      <c r="DWP24" s="37"/>
      <c r="DWQ24" s="37"/>
      <c r="DWR24" s="37"/>
      <c r="DWS24" s="37"/>
      <c r="DWT24" s="37"/>
      <c r="DWU24" s="37"/>
      <c r="DWV24" s="37"/>
      <c r="DWW24" s="37"/>
      <c r="DWX24" s="37"/>
      <c r="DWY24" s="37"/>
      <c r="DWZ24" s="37"/>
      <c r="DXA24" s="37"/>
      <c r="DXB24" s="37"/>
      <c r="DXC24" s="37"/>
      <c r="DXD24" s="37"/>
      <c r="DXE24" s="37"/>
      <c r="DXF24" s="37"/>
      <c r="DXG24" s="37"/>
      <c r="DXH24" s="37"/>
      <c r="DXI24" s="37"/>
      <c r="DXJ24" s="37"/>
      <c r="DXK24" s="37"/>
      <c r="DXL24" s="37"/>
      <c r="DXM24" s="37"/>
      <c r="DXN24" s="37"/>
      <c r="DXO24" s="37"/>
      <c r="DXP24" s="37"/>
      <c r="DXQ24" s="37"/>
      <c r="DXR24" s="37"/>
      <c r="DXS24" s="37"/>
      <c r="DXT24" s="37"/>
      <c r="DXU24" s="37"/>
      <c r="DXV24" s="37"/>
      <c r="DXW24" s="37"/>
      <c r="DXX24" s="37"/>
      <c r="DXY24" s="37"/>
      <c r="DXZ24" s="37"/>
      <c r="DYA24" s="37"/>
      <c r="DYB24" s="37"/>
      <c r="DYC24" s="37"/>
      <c r="DYD24" s="37"/>
      <c r="DYE24" s="37"/>
      <c r="DYF24" s="37"/>
      <c r="DYG24" s="37"/>
      <c r="DYH24" s="37"/>
      <c r="DYI24" s="37"/>
      <c r="DYJ24" s="37"/>
      <c r="DYK24" s="37"/>
      <c r="DYL24" s="37"/>
      <c r="DYM24" s="37"/>
      <c r="DYN24" s="37"/>
      <c r="DYO24" s="37"/>
      <c r="DYP24" s="37"/>
      <c r="DYQ24" s="37"/>
      <c r="DYR24" s="37"/>
      <c r="DYS24" s="37"/>
      <c r="DYT24" s="37"/>
      <c r="DYU24" s="37"/>
      <c r="DYV24" s="37"/>
      <c r="DYW24" s="37"/>
      <c r="DYX24" s="37"/>
      <c r="DYY24" s="37"/>
      <c r="DYZ24" s="37"/>
      <c r="DZA24" s="37"/>
      <c r="DZB24" s="37"/>
      <c r="DZC24" s="37"/>
      <c r="DZD24" s="37"/>
      <c r="DZE24" s="37"/>
      <c r="DZF24" s="37"/>
      <c r="DZG24" s="37"/>
      <c r="DZH24" s="37"/>
      <c r="DZI24" s="37"/>
      <c r="DZJ24" s="37"/>
      <c r="DZK24" s="37"/>
      <c r="DZL24" s="37"/>
      <c r="DZM24" s="37"/>
      <c r="DZN24" s="37"/>
      <c r="DZO24" s="37"/>
      <c r="DZP24" s="37"/>
      <c r="DZQ24" s="37"/>
      <c r="DZR24" s="37"/>
      <c r="DZS24" s="37"/>
      <c r="DZT24" s="37"/>
      <c r="DZU24" s="37"/>
      <c r="DZV24" s="37"/>
      <c r="DZW24" s="37"/>
      <c r="DZX24" s="37"/>
      <c r="DZY24" s="37"/>
      <c r="DZZ24" s="37"/>
      <c r="EAA24" s="37"/>
      <c r="EAB24" s="37"/>
      <c r="EAC24" s="37"/>
      <c r="EAD24" s="37"/>
      <c r="EAE24" s="37"/>
      <c r="EAF24" s="37"/>
      <c r="EAG24" s="37"/>
      <c r="EAH24" s="37"/>
      <c r="EAI24" s="37"/>
      <c r="EAJ24" s="37"/>
      <c r="EAK24" s="37"/>
      <c r="EAL24" s="37"/>
      <c r="EAM24" s="37"/>
      <c r="EAN24" s="37"/>
      <c r="EAO24" s="37"/>
      <c r="EAP24" s="37"/>
      <c r="EAQ24" s="37"/>
      <c r="EAR24" s="37"/>
      <c r="EAS24" s="37"/>
      <c r="EAT24" s="37"/>
      <c r="EAU24" s="37"/>
      <c r="EAV24" s="37"/>
      <c r="EAW24" s="37"/>
      <c r="EAX24" s="37"/>
      <c r="EAY24" s="37"/>
      <c r="EAZ24" s="37"/>
      <c r="EBA24" s="37"/>
      <c r="EBB24" s="37"/>
      <c r="EBC24" s="37"/>
      <c r="EBD24" s="37"/>
      <c r="EBE24" s="37"/>
      <c r="EBF24" s="37"/>
      <c r="EBG24" s="37"/>
      <c r="EBH24" s="37"/>
      <c r="EBI24" s="37"/>
      <c r="EBJ24" s="37"/>
      <c r="EBK24" s="37"/>
      <c r="EBL24" s="37"/>
      <c r="EBM24" s="37"/>
      <c r="EBN24" s="37"/>
      <c r="EBO24" s="37"/>
      <c r="EBP24" s="37"/>
      <c r="EBQ24" s="37"/>
      <c r="EBR24" s="37"/>
      <c r="EBS24" s="37"/>
      <c r="EBT24" s="37"/>
      <c r="EBU24" s="37"/>
      <c r="EBV24" s="37"/>
      <c r="EBW24" s="37"/>
      <c r="EBX24" s="37"/>
      <c r="EBY24" s="37"/>
      <c r="EBZ24" s="37"/>
      <c r="ECA24" s="37"/>
      <c r="ECB24" s="37"/>
      <c r="ECC24" s="37"/>
      <c r="ECD24" s="37"/>
      <c r="ECE24" s="37"/>
      <c r="ECF24" s="37"/>
      <c r="ECG24" s="37"/>
      <c r="ECH24" s="37"/>
      <c r="ECI24" s="37"/>
      <c r="ECJ24" s="37"/>
      <c r="ECK24" s="37"/>
      <c r="ECL24" s="37"/>
      <c r="ECM24" s="37"/>
      <c r="ECN24" s="37"/>
      <c r="ECO24" s="37"/>
      <c r="ECP24" s="37"/>
      <c r="ECQ24" s="37"/>
      <c r="ECR24" s="37"/>
      <c r="ECS24" s="37"/>
      <c r="ECT24" s="37"/>
      <c r="ECU24" s="37"/>
      <c r="ECV24" s="37"/>
      <c r="ECW24" s="37"/>
      <c r="ECX24" s="37"/>
      <c r="ECY24" s="37"/>
      <c r="ECZ24" s="37"/>
      <c r="EDA24" s="37"/>
      <c r="EDB24" s="37"/>
      <c r="EDC24" s="37"/>
      <c r="EDD24" s="37"/>
      <c r="EDE24" s="37"/>
      <c r="EDF24" s="37"/>
      <c r="EDG24" s="37"/>
      <c r="EDH24" s="37"/>
      <c r="EDI24" s="37"/>
      <c r="EDJ24" s="37"/>
      <c r="EDK24" s="37"/>
      <c r="EDL24" s="37"/>
      <c r="EDM24" s="37"/>
      <c r="EDN24" s="37"/>
      <c r="EDO24" s="37"/>
      <c r="EDP24" s="37"/>
      <c r="EDQ24" s="37"/>
      <c r="EDR24" s="37"/>
      <c r="EDS24" s="37"/>
      <c r="EDT24" s="37"/>
      <c r="EDU24" s="37"/>
      <c r="EDV24" s="37"/>
      <c r="EDW24" s="37"/>
      <c r="EDX24" s="37"/>
      <c r="EDY24" s="37"/>
      <c r="EDZ24" s="37"/>
      <c r="EEA24" s="37"/>
      <c r="EEB24" s="37"/>
      <c r="EEC24" s="37"/>
      <c r="EED24" s="37"/>
      <c r="EEE24" s="37"/>
      <c r="EEF24" s="37"/>
      <c r="EEG24" s="37"/>
      <c r="EEH24" s="37"/>
      <c r="EEI24" s="37"/>
      <c r="EEJ24" s="37"/>
      <c r="EEK24" s="37"/>
      <c r="EEL24" s="37"/>
      <c r="EEM24" s="37"/>
      <c r="EEN24" s="37"/>
      <c r="EEO24" s="37"/>
      <c r="EEP24" s="37"/>
      <c r="EEQ24" s="37"/>
      <c r="EER24" s="37"/>
      <c r="EES24" s="37"/>
      <c r="EET24" s="37"/>
      <c r="EEU24" s="37"/>
      <c r="EEV24" s="37"/>
      <c r="EEW24" s="37"/>
      <c r="EEX24" s="37"/>
      <c r="EEY24" s="37"/>
      <c r="EEZ24" s="37"/>
      <c r="EFA24" s="37"/>
      <c r="EFB24" s="37"/>
      <c r="EFC24" s="37"/>
      <c r="EFD24" s="37"/>
      <c r="EFE24" s="37"/>
      <c r="EFF24" s="37"/>
      <c r="EFG24" s="37"/>
      <c r="EFH24" s="37"/>
      <c r="EFI24" s="37"/>
      <c r="EFJ24" s="37"/>
      <c r="EFK24" s="37"/>
      <c r="EFL24" s="37"/>
      <c r="EFM24" s="37"/>
      <c r="EFN24" s="37"/>
      <c r="EFO24" s="37"/>
      <c r="EFP24" s="37"/>
      <c r="EFQ24" s="37"/>
      <c r="EFR24" s="37"/>
      <c r="EFS24" s="37"/>
      <c r="EFT24" s="37"/>
      <c r="EFU24" s="37"/>
      <c r="EFV24" s="37"/>
      <c r="EFW24" s="37"/>
      <c r="EFX24" s="37"/>
      <c r="EFY24" s="37"/>
      <c r="EFZ24" s="37"/>
      <c r="EGA24" s="37"/>
      <c r="EGB24" s="37"/>
      <c r="EGC24" s="37"/>
      <c r="EGD24" s="37"/>
      <c r="EGE24" s="37"/>
      <c r="EGF24" s="37"/>
      <c r="EGG24" s="37"/>
      <c r="EGH24" s="37"/>
      <c r="EGI24" s="37"/>
      <c r="EGJ24" s="37"/>
      <c r="EGK24" s="37"/>
      <c r="EGL24" s="37"/>
      <c r="EGM24" s="37"/>
      <c r="EGN24" s="37"/>
      <c r="EGO24" s="37"/>
      <c r="EGP24" s="37"/>
      <c r="EGQ24" s="37"/>
      <c r="EGR24" s="37"/>
      <c r="EGS24" s="37"/>
      <c r="EGT24" s="37"/>
      <c r="EGU24" s="37"/>
      <c r="EGV24" s="37"/>
      <c r="EGW24" s="37"/>
      <c r="EGX24" s="37"/>
      <c r="EGY24" s="37"/>
      <c r="EGZ24" s="37"/>
      <c r="EHA24" s="37"/>
      <c r="EHB24" s="37"/>
      <c r="EHC24" s="37"/>
      <c r="EHD24" s="37"/>
      <c r="EHE24" s="37"/>
      <c r="EHF24" s="37"/>
      <c r="EHG24" s="37"/>
      <c r="EHH24" s="37"/>
      <c r="EHI24" s="37"/>
      <c r="EHJ24" s="37"/>
      <c r="EHK24" s="37"/>
      <c r="EHL24" s="37"/>
      <c r="EHM24" s="37"/>
      <c r="EHN24" s="37"/>
      <c r="EHO24" s="37"/>
      <c r="EHP24" s="37"/>
      <c r="EHQ24" s="37"/>
      <c r="EHR24" s="37"/>
      <c r="EHS24" s="37"/>
      <c r="EHT24" s="37"/>
      <c r="EHU24" s="37"/>
      <c r="EHV24" s="37"/>
      <c r="EHW24" s="37"/>
      <c r="EHX24" s="37"/>
      <c r="EHY24" s="37"/>
      <c r="EHZ24" s="37"/>
      <c r="EIA24" s="37"/>
      <c r="EIB24" s="37"/>
      <c r="EIC24" s="37"/>
      <c r="EID24" s="37"/>
      <c r="EIE24" s="37"/>
      <c r="EIF24" s="37"/>
      <c r="EIG24" s="37"/>
      <c r="EIH24" s="37"/>
      <c r="EII24" s="37"/>
      <c r="EIJ24" s="37"/>
      <c r="EIK24" s="37"/>
      <c r="EIL24" s="37"/>
      <c r="EIM24" s="37"/>
      <c r="EIN24" s="37"/>
      <c r="EIO24" s="37"/>
      <c r="EIP24" s="37"/>
      <c r="EIQ24" s="37"/>
      <c r="EIR24" s="37"/>
      <c r="EIS24" s="37"/>
      <c r="EIT24" s="37"/>
      <c r="EIU24" s="37"/>
      <c r="EIV24" s="37"/>
      <c r="EIW24" s="37"/>
      <c r="EIX24" s="37"/>
      <c r="EIY24" s="37"/>
      <c r="EIZ24" s="37"/>
      <c r="EJA24" s="37"/>
      <c r="EJB24" s="37"/>
      <c r="EJC24" s="37"/>
      <c r="EJD24" s="37"/>
      <c r="EJE24" s="37"/>
      <c r="EJF24" s="37"/>
      <c r="EJG24" s="37"/>
      <c r="EJH24" s="37"/>
      <c r="EJI24" s="37"/>
      <c r="EJJ24" s="37"/>
      <c r="EJK24" s="37"/>
      <c r="EJL24" s="37"/>
      <c r="EJM24" s="37"/>
      <c r="EJN24" s="37"/>
      <c r="EJO24" s="37"/>
      <c r="EJP24" s="37"/>
      <c r="EJQ24" s="37"/>
      <c r="EJR24" s="37"/>
      <c r="EJS24" s="37"/>
      <c r="EJT24" s="37"/>
      <c r="EJU24" s="37"/>
      <c r="EJV24" s="37"/>
      <c r="EJW24" s="37"/>
      <c r="EJX24" s="37"/>
      <c r="EJY24" s="37"/>
      <c r="EJZ24" s="37"/>
      <c r="EKA24" s="37"/>
      <c r="EKB24" s="37"/>
      <c r="EKC24" s="37"/>
      <c r="EKD24" s="37"/>
      <c r="EKE24" s="37"/>
      <c r="EKF24" s="37"/>
      <c r="EKG24" s="37"/>
      <c r="EKH24" s="37"/>
      <c r="EKI24" s="37"/>
      <c r="EKJ24" s="37"/>
      <c r="EKK24" s="37"/>
      <c r="EKL24" s="37"/>
      <c r="EKM24" s="37"/>
      <c r="EKN24" s="37"/>
      <c r="EKO24" s="37"/>
      <c r="EKP24" s="37"/>
      <c r="EKQ24" s="37"/>
      <c r="EKR24" s="37"/>
      <c r="EKS24" s="37"/>
      <c r="EKT24" s="37"/>
      <c r="EKU24" s="37"/>
      <c r="EKV24" s="37"/>
      <c r="EKW24" s="37"/>
      <c r="EKX24" s="37"/>
      <c r="EKY24" s="37"/>
      <c r="EKZ24" s="37"/>
      <c r="ELA24" s="37"/>
      <c r="ELB24" s="37"/>
      <c r="ELC24" s="37"/>
      <c r="ELD24" s="37"/>
      <c r="ELE24" s="37"/>
      <c r="ELF24" s="37"/>
      <c r="ELG24" s="37"/>
      <c r="ELH24" s="37"/>
      <c r="ELI24" s="37"/>
      <c r="ELJ24" s="37"/>
      <c r="ELK24" s="37"/>
      <c r="ELL24" s="37"/>
      <c r="ELM24" s="37"/>
      <c r="ELN24" s="37"/>
      <c r="ELO24" s="37"/>
      <c r="ELP24" s="37"/>
      <c r="ELQ24" s="37"/>
      <c r="ELR24" s="37"/>
      <c r="ELS24" s="37"/>
      <c r="ELT24" s="37"/>
      <c r="ELU24" s="37"/>
      <c r="ELV24" s="37"/>
      <c r="ELW24" s="37"/>
      <c r="ELX24" s="37"/>
      <c r="ELY24" s="37"/>
      <c r="ELZ24" s="37"/>
      <c r="EMA24" s="37"/>
      <c r="EMB24" s="37"/>
      <c r="EMC24" s="37"/>
      <c r="EMD24" s="37"/>
      <c r="EME24" s="37"/>
      <c r="EMF24" s="37"/>
      <c r="EMG24" s="37"/>
      <c r="EMH24" s="37"/>
      <c r="EMI24" s="37"/>
      <c r="EMJ24" s="37"/>
      <c r="EMK24" s="37"/>
      <c r="EML24" s="37"/>
      <c r="EMM24" s="37"/>
      <c r="EMN24" s="37"/>
      <c r="EMO24" s="37"/>
      <c r="EMP24" s="37"/>
      <c r="EMQ24" s="37"/>
      <c r="EMR24" s="37"/>
      <c r="EMS24" s="37"/>
      <c r="EMT24" s="37"/>
      <c r="EMU24" s="37"/>
      <c r="EMV24" s="37"/>
      <c r="EMW24" s="37"/>
      <c r="EMX24" s="37"/>
      <c r="EMY24" s="37"/>
      <c r="EMZ24" s="37"/>
      <c r="ENA24" s="37"/>
      <c r="ENB24" s="37"/>
      <c r="ENC24" s="37"/>
      <c r="END24" s="37"/>
      <c r="ENE24" s="37"/>
      <c r="ENF24" s="37"/>
      <c r="ENG24" s="37"/>
      <c r="ENH24" s="37"/>
      <c r="ENI24" s="37"/>
      <c r="ENJ24" s="37"/>
      <c r="ENK24" s="37"/>
      <c r="ENL24" s="37"/>
      <c r="ENM24" s="37"/>
      <c r="ENN24" s="37"/>
      <c r="ENO24" s="37"/>
      <c r="ENP24" s="37"/>
      <c r="ENQ24" s="37"/>
      <c r="ENR24" s="37"/>
      <c r="ENS24" s="37"/>
      <c r="ENT24" s="37"/>
      <c r="ENU24" s="37"/>
      <c r="ENV24" s="37"/>
      <c r="ENW24" s="37"/>
      <c r="ENX24" s="37"/>
      <c r="ENY24" s="37"/>
      <c r="ENZ24" s="37"/>
      <c r="EOA24" s="37"/>
      <c r="EOB24" s="37"/>
      <c r="EOC24" s="37"/>
      <c r="EOD24" s="37"/>
      <c r="EOE24" s="37"/>
      <c r="EOF24" s="37"/>
      <c r="EOG24" s="37"/>
      <c r="EOH24" s="37"/>
      <c r="EOI24" s="37"/>
      <c r="EOJ24" s="37"/>
      <c r="EOK24" s="37"/>
      <c r="EOL24" s="37"/>
      <c r="EOM24" s="37"/>
      <c r="EON24" s="37"/>
      <c r="EOO24" s="37"/>
      <c r="EOP24" s="37"/>
      <c r="EOQ24" s="37"/>
      <c r="EOR24" s="37"/>
      <c r="EOS24" s="37"/>
      <c r="EOT24" s="37"/>
      <c r="EOU24" s="37"/>
      <c r="EOV24" s="37"/>
      <c r="EOW24" s="37"/>
      <c r="EOX24" s="37"/>
      <c r="EOY24" s="37"/>
      <c r="EOZ24" s="37"/>
      <c r="EPA24" s="37"/>
      <c r="EPB24" s="37"/>
      <c r="EPC24" s="37"/>
      <c r="EPD24" s="37"/>
      <c r="EPE24" s="37"/>
      <c r="EPF24" s="37"/>
      <c r="EPG24" s="37"/>
      <c r="EPH24" s="37"/>
      <c r="EPI24" s="37"/>
      <c r="EPJ24" s="37"/>
      <c r="EPK24" s="37"/>
      <c r="EPL24" s="37"/>
      <c r="EPM24" s="37"/>
      <c r="EPN24" s="37"/>
      <c r="EPO24" s="37"/>
      <c r="EPP24" s="37"/>
      <c r="EPQ24" s="37"/>
      <c r="EPR24" s="37"/>
      <c r="EPS24" s="37"/>
      <c r="EPT24" s="37"/>
      <c r="EPU24" s="37"/>
      <c r="EPV24" s="37"/>
      <c r="EPW24" s="37"/>
      <c r="EPX24" s="37"/>
      <c r="EPY24" s="37"/>
      <c r="EPZ24" s="37"/>
      <c r="EQA24" s="37"/>
      <c r="EQB24" s="37"/>
      <c r="EQC24" s="37"/>
      <c r="EQD24" s="37"/>
      <c r="EQE24" s="37"/>
      <c r="EQF24" s="37"/>
      <c r="EQG24" s="37"/>
      <c r="EQH24" s="37"/>
      <c r="EQI24" s="37"/>
      <c r="EQJ24" s="37"/>
      <c r="EQK24" s="37"/>
      <c r="EQL24" s="37"/>
      <c r="EQM24" s="37"/>
      <c r="EQN24" s="37"/>
      <c r="EQO24" s="37"/>
      <c r="EQP24" s="37"/>
      <c r="EQQ24" s="37"/>
      <c r="EQR24" s="37"/>
      <c r="EQS24" s="37"/>
      <c r="EQT24" s="37"/>
      <c r="EQU24" s="37"/>
      <c r="EQV24" s="37"/>
      <c r="EQW24" s="37"/>
      <c r="EQX24" s="37"/>
      <c r="EQY24" s="37"/>
      <c r="EQZ24" s="37"/>
      <c r="ERA24" s="37"/>
      <c r="ERB24" s="37"/>
      <c r="ERC24" s="37"/>
      <c r="ERD24" s="37"/>
      <c r="ERE24" s="37"/>
      <c r="ERF24" s="37"/>
      <c r="ERG24" s="37"/>
      <c r="ERH24" s="37"/>
      <c r="ERI24" s="37"/>
      <c r="ERJ24" s="37"/>
      <c r="ERK24" s="37"/>
      <c r="ERL24" s="37"/>
      <c r="ERM24" s="37"/>
      <c r="ERN24" s="37"/>
      <c r="ERO24" s="37"/>
      <c r="ERP24" s="37"/>
      <c r="ERQ24" s="37"/>
      <c r="ERR24" s="37"/>
      <c r="ERS24" s="37"/>
      <c r="ERT24" s="37"/>
      <c r="ERU24" s="37"/>
      <c r="ERV24" s="37"/>
      <c r="ERW24" s="37"/>
      <c r="ERX24" s="37"/>
      <c r="ERY24" s="37"/>
      <c r="ERZ24" s="37"/>
      <c r="ESA24" s="37"/>
      <c r="ESB24" s="37"/>
      <c r="ESC24" s="37"/>
      <c r="ESD24" s="37"/>
      <c r="ESE24" s="37"/>
      <c r="ESF24" s="37"/>
      <c r="ESG24" s="37"/>
      <c r="ESH24" s="37"/>
      <c r="ESI24" s="37"/>
      <c r="ESJ24" s="37"/>
      <c r="ESK24" s="37"/>
      <c r="ESL24" s="37"/>
      <c r="ESM24" s="37"/>
      <c r="ESN24" s="37"/>
      <c r="ESO24" s="37"/>
      <c r="ESP24" s="37"/>
      <c r="ESQ24" s="37"/>
      <c r="ESR24" s="37"/>
      <c r="ESS24" s="37"/>
      <c r="EST24" s="37"/>
      <c r="ESU24" s="37"/>
      <c r="ESV24" s="37"/>
      <c r="ESW24" s="37"/>
      <c r="ESX24" s="37"/>
      <c r="ESY24" s="37"/>
      <c r="ESZ24" s="37"/>
      <c r="ETA24" s="37"/>
      <c r="ETB24" s="37"/>
      <c r="ETC24" s="37"/>
      <c r="ETD24" s="37"/>
      <c r="ETE24" s="37"/>
      <c r="ETF24" s="37"/>
      <c r="ETG24" s="37"/>
      <c r="ETH24" s="37"/>
      <c r="ETI24" s="37"/>
      <c r="ETJ24" s="37"/>
      <c r="ETK24" s="37"/>
      <c r="ETL24" s="37"/>
      <c r="ETM24" s="37"/>
      <c r="ETN24" s="37"/>
      <c r="ETO24" s="37"/>
      <c r="ETP24" s="37"/>
      <c r="ETQ24" s="37"/>
      <c r="ETR24" s="37"/>
      <c r="ETS24" s="37"/>
      <c r="ETT24" s="37"/>
      <c r="ETU24" s="37"/>
      <c r="ETV24" s="37"/>
      <c r="ETW24" s="37"/>
      <c r="ETX24" s="37"/>
      <c r="ETY24" s="37"/>
      <c r="ETZ24" s="37"/>
      <c r="EUA24" s="37"/>
      <c r="EUB24" s="37"/>
      <c r="EUC24" s="37"/>
      <c r="EUD24" s="37"/>
      <c r="EUE24" s="37"/>
      <c r="EUF24" s="37"/>
      <c r="EUG24" s="37"/>
      <c r="EUH24" s="37"/>
      <c r="EUI24" s="37"/>
      <c r="EUJ24" s="37"/>
      <c r="EUK24" s="37"/>
      <c r="EUL24" s="37"/>
      <c r="EUM24" s="37"/>
      <c r="EUN24" s="37"/>
      <c r="EUO24" s="37"/>
      <c r="EUP24" s="37"/>
      <c r="EUQ24" s="37"/>
      <c r="EUR24" s="37"/>
      <c r="EUS24" s="37"/>
      <c r="EUT24" s="37"/>
      <c r="EUU24" s="37"/>
      <c r="EUV24" s="37"/>
      <c r="EUW24" s="37"/>
      <c r="EUX24" s="37"/>
      <c r="EUY24" s="37"/>
      <c r="EUZ24" s="37"/>
      <c r="EVA24" s="37"/>
      <c r="EVB24" s="37"/>
      <c r="EVC24" s="37"/>
      <c r="EVD24" s="37"/>
      <c r="EVE24" s="37"/>
      <c r="EVF24" s="37"/>
      <c r="EVG24" s="37"/>
      <c r="EVH24" s="37"/>
      <c r="EVI24" s="37"/>
      <c r="EVJ24" s="37"/>
      <c r="EVK24" s="37"/>
      <c r="EVL24" s="37"/>
      <c r="EVM24" s="37"/>
      <c r="EVN24" s="37"/>
      <c r="EVO24" s="37"/>
      <c r="EVP24" s="37"/>
      <c r="EVQ24" s="37"/>
      <c r="EVR24" s="37"/>
      <c r="EVS24" s="37"/>
      <c r="EVT24" s="37"/>
      <c r="EVU24" s="37"/>
      <c r="EVV24" s="37"/>
      <c r="EVW24" s="37"/>
      <c r="EVX24" s="37"/>
      <c r="EVY24" s="37"/>
      <c r="EVZ24" s="37"/>
      <c r="EWA24" s="37"/>
      <c r="EWB24" s="37"/>
      <c r="EWC24" s="37"/>
      <c r="EWD24" s="37"/>
      <c r="EWE24" s="37"/>
      <c r="EWF24" s="37"/>
      <c r="EWG24" s="37"/>
      <c r="EWH24" s="37"/>
      <c r="EWI24" s="37"/>
      <c r="EWJ24" s="37"/>
      <c r="EWK24" s="37"/>
      <c r="EWL24" s="37"/>
      <c r="EWM24" s="37"/>
      <c r="EWN24" s="37"/>
      <c r="EWO24" s="37"/>
      <c r="EWP24" s="37"/>
      <c r="EWQ24" s="37"/>
      <c r="EWR24" s="37"/>
      <c r="EWS24" s="37"/>
      <c r="EWT24" s="37"/>
      <c r="EWU24" s="37"/>
      <c r="EWV24" s="37"/>
      <c r="EWW24" s="37"/>
      <c r="EWX24" s="37"/>
      <c r="EWY24" s="37"/>
      <c r="EWZ24" s="37"/>
      <c r="EXA24" s="37"/>
      <c r="EXB24" s="37"/>
      <c r="EXC24" s="37"/>
      <c r="EXD24" s="37"/>
      <c r="EXE24" s="37"/>
      <c r="EXF24" s="37"/>
      <c r="EXG24" s="37"/>
      <c r="EXH24" s="37"/>
      <c r="EXI24" s="37"/>
      <c r="EXJ24" s="37"/>
      <c r="EXK24" s="37"/>
      <c r="EXL24" s="37"/>
      <c r="EXM24" s="37"/>
      <c r="EXN24" s="37"/>
      <c r="EXO24" s="37"/>
      <c r="EXP24" s="37"/>
      <c r="EXQ24" s="37"/>
      <c r="EXR24" s="37"/>
      <c r="EXS24" s="37"/>
      <c r="EXT24" s="37"/>
      <c r="EXU24" s="37"/>
      <c r="EXV24" s="37"/>
      <c r="EXW24" s="37"/>
      <c r="EXX24" s="37"/>
      <c r="EXY24" s="37"/>
      <c r="EXZ24" s="37"/>
      <c r="EYA24" s="37"/>
      <c r="EYB24" s="37"/>
      <c r="EYC24" s="37"/>
      <c r="EYD24" s="37"/>
      <c r="EYE24" s="37"/>
      <c r="EYF24" s="37"/>
      <c r="EYG24" s="37"/>
      <c r="EYH24" s="37"/>
      <c r="EYI24" s="37"/>
      <c r="EYJ24" s="37"/>
      <c r="EYK24" s="37"/>
      <c r="EYL24" s="37"/>
      <c r="EYM24" s="37"/>
      <c r="EYN24" s="37"/>
      <c r="EYO24" s="37"/>
      <c r="EYP24" s="37"/>
      <c r="EYQ24" s="37"/>
      <c r="EYR24" s="37"/>
      <c r="EYS24" s="37"/>
      <c r="EYT24" s="37"/>
      <c r="EYU24" s="37"/>
      <c r="EYV24" s="37"/>
      <c r="EYW24" s="37"/>
      <c r="EYX24" s="37"/>
      <c r="EYY24" s="37"/>
      <c r="EYZ24" s="37"/>
      <c r="EZA24" s="37"/>
      <c r="EZB24" s="37"/>
      <c r="EZC24" s="37"/>
      <c r="EZD24" s="37"/>
      <c r="EZE24" s="37"/>
      <c r="EZF24" s="37"/>
      <c r="EZG24" s="37"/>
      <c r="EZH24" s="37"/>
      <c r="EZI24" s="37"/>
      <c r="EZJ24" s="37"/>
      <c r="EZK24" s="37"/>
      <c r="EZL24" s="37"/>
      <c r="EZM24" s="37"/>
      <c r="EZN24" s="37"/>
      <c r="EZO24" s="37"/>
      <c r="EZP24" s="37"/>
      <c r="EZQ24" s="37"/>
      <c r="EZR24" s="37"/>
      <c r="EZS24" s="37"/>
      <c r="EZT24" s="37"/>
      <c r="EZU24" s="37"/>
      <c r="EZV24" s="37"/>
      <c r="EZW24" s="37"/>
      <c r="EZX24" s="37"/>
      <c r="EZY24" s="37"/>
      <c r="EZZ24" s="37"/>
      <c r="FAA24" s="37"/>
      <c r="FAB24" s="37"/>
      <c r="FAC24" s="37"/>
      <c r="FAD24" s="37"/>
      <c r="FAE24" s="37"/>
      <c r="FAF24" s="37"/>
      <c r="FAG24" s="37"/>
      <c r="FAH24" s="37"/>
      <c r="FAI24" s="37"/>
      <c r="FAJ24" s="37"/>
      <c r="FAK24" s="37"/>
      <c r="FAL24" s="37"/>
      <c r="FAM24" s="37"/>
      <c r="FAN24" s="37"/>
      <c r="FAO24" s="37"/>
      <c r="FAP24" s="37"/>
      <c r="FAQ24" s="37"/>
      <c r="FAR24" s="37"/>
      <c r="FAS24" s="37"/>
      <c r="FAT24" s="37"/>
      <c r="FAU24" s="37"/>
      <c r="FAV24" s="37"/>
      <c r="FAW24" s="37"/>
      <c r="FAX24" s="37"/>
      <c r="FAY24" s="37"/>
      <c r="FAZ24" s="37"/>
      <c r="FBA24" s="37"/>
      <c r="FBB24" s="37"/>
      <c r="FBC24" s="37"/>
      <c r="FBD24" s="37"/>
      <c r="FBE24" s="37"/>
      <c r="FBF24" s="37"/>
      <c r="FBG24" s="37"/>
      <c r="FBH24" s="37"/>
      <c r="FBI24" s="37"/>
      <c r="FBJ24" s="37"/>
      <c r="FBK24" s="37"/>
      <c r="FBL24" s="37"/>
      <c r="FBM24" s="37"/>
      <c r="FBN24" s="37"/>
      <c r="FBO24" s="37"/>
      <c r="FBP24" s="37"/>
      <c r="FBQ24" s="37"/>
      <c r="FBR24" s="37"/>
      <c r="FBS24" s="37"/>
      <c r="FBT24" s="37"/>
      <c r="FBU24" s="37"/>
      <c r="FBV24" s="37"/>
      <c r="FBW24" s="37"/>
      <c r="FBX24" s="37"/>
      <c r="FBY24" s="37"/>
      <c r="FBZ24" s="37"/>
      <c r="FCA24" s="37"/>
      <c r="FCB24" s="37"/>
      <c r="FCC24" s="37"/>
      <c r="FCD24" s="37"/>
      <c r="FCE24" s="37"/>
      <c r="FCF24" s="37"/>
      <c r="FCG24" s="37"/>
      <c r="FCH24" s="37"/>
      <c r="FCI24" s="37"/>
      <c r="FCJ24" s="37"/>
      <c r="FCK24" s="37"/>
      <c r="FCL24" s="37"/>
      <c r="FCM24" s="37"/>
      <c r="FCN24" s="37"/>
      <c r="FCO24" s="37"/>
      <c r="FCP24" s="37"/>
      <c r="FCQ24" s="37"/>
      <c r="FCR24" s="37"/>
      <c r="FCS24" s="37"/>
      <c r="FCT24" s="37"/>
      <c r="FCU24" s="37"/>
      <c r="FCV24" s="37"/>
      <c r="FCW24" s="37"/>
      <c r="FCX24" s="37"/>
      <c r="FCY24" s="37"/>
      <c r="FCZ24" s="37"/>
      <c r="FDA24" s="37"/>
      <c r="FDB24" s="37"/>
      <c r="FDC24" s="37"/>
      <c r="FDD24" s="37"/>
      <c r="FDE24" s="37"/>
      <c r="FDF24" s="37"/>
      <c r="FDG24" s="37"/>
      <c r="FDH24" s="37"/>
      <c r="FDI24" s="37"/>
      <c r="FDJ24" s="37"/>
      <c r="FDK24" s="37"/>
      <c r="FDL24" s="37"/>
      <c r="FDM24" s="37"/>
      <c r="FDN24" s="37"/>
      <c r="FDO24" s="37"/>
      <c r="FDP24" s="37"/>
      <c r="FDQ24" s="37"/>
      <c r="FDR24" s="37"/>
      <c r="FDS24" s="37"/>
      <c r="FDT24" s="37"/>
      <c r="FDU24" s="37"/>
      <c r="FDV24" s="37"/>
      <c r="FDW24" s="37"/>
      <c r="FDX24" s="37"/>
      <c r="FDY24" s="37"/>
      <c r="FDZ24" s="37"/>
      <c r="FEA24" s="37"/>
      <c r="FEB24" s="37"/>
      <c r="FEC24" s="37"/>
      <c r="FED24" s="37"/>
      <c r="FEE24" s="37"/>
      <c r="FEF24" s="37"/>
      <c r="FEG24" s="37"/>
      <c r="FEH24" s="37"/>
      <c r="FEI24" s="37"/>
      <c r="FEJ24" s="37"/>
      <c r="FEK24" s="37"/>
      <c r="FEL24" s="37"/>
      <c r="FEM24" s="37"/>
      <c r="FEN24" s="37"/>
      <c r="FEO24" s="37"/>
      <c r="FEP24" s="37"/>
      <c r="FEQ24" s="37"/>
      <c r="FER24" s="37"/>
      <c r="FES24" s="37"/>
      <c r="FET24" s="37"/>
      <c r="FEU24" s="37"/>
      <c r="FEV24" s="37"/>
      <c r="FEW24" s="37"/>
      <c r="FEX24" s="37"/>
      <c r="FEY24" s="37"/>
      <c r="FEZ24" s="37"/>
      <c r="FFA24" s="37"/>
      <c r="FFB24" s="37"/>
      <c r="FFC24" s="37"/>
      <c r="FFD24" s="37"/>
      <c r="FFE24" s="37"/>
      <c r="FFF24" s="37"/>
      <c r="FFG24" s="37"/>
      <c r="FFH24" s="37"/>
      <c r="FFI24" s="37"/>
      <c r="FFJ24" s="37"/>
      <c r="FFK24" s="37"/>
      <c r="FFL24" s="37"/>
      <c r="FFM24" s="37"/>
      <c r="FFN24" s="37"/>
      <c r="FFO24" s="37"/>
      <c r="FFP24" s="37"/>
      <c r="FFQ24" s="37"/>
      <c r="FFR24" s="37"/>
      <c r="FFS24" s="37"/>
      <c r="FFT24" s="37"/>
      <c r="FFU24" s="37"/>
      <c r="FFV24" s="37"/>
      <c r="FFW24" s="37"/>
      <c r="FFX24" s="37"/>
      <c r="FFY24" s="37"/>
      <c r="FFZ24" s="37"/>
      <c r="FGA24" s="37"/>
      <c r="FGB24" s="37"/>
      <c r="FGC24" s="37"/>
      <c r="FGD24" s="37"/>
      <c r="FGE24" s="37"/>
      <c r="FGF24" s="37"/>
      <c r="FGG24" s="37"/>
      <c r="FGH24" s="37"/>
      <c r="FGI24" s="37"/>
      <c r="FGJ24" s="37"/>
      <c r="FGK24" s="37"/>
      <c r="FGL24" s="37"/>
      <c r="FGM24" s="37"/>
      <c r="FGN24" s="37"/>
      <c r="FGO24" s="37"/>
      <c r="FGP24" s="37"/>
      <c r="FGQ24" s="37"/>
      <c r="FGR24" s="37"/>
      <c r="FGS24" s="37"/>
      <c r="FGT24" s="37"/>
      <c r="FGU24" s="37"/>
      <c r="FGV24" s="37"/>
      <c r="FGW24" s="37"/>
      <c r="FGX24" s="37"/>
      <c r="FGY24" s="37"/>
      <c r="FGZ24" s="37"/>
      <c r="FHA24" s="37"/>
      <c r="FHB24" s="37"/>
      <c r="FHC24" s="37"/>
      <c r="FHD24" s="37"/>
      <c r="FHE24" s="37"/>
      <c r="FHF24" s="37"/>
      <c r="FHG24" s="37"/>
      <c r="FHH24" s="37"/>
      <c r="FHI24" s="37"/>
      <c r="FHJ24" s="37"/>
      <c r="FHK24" s="37"/>
      <c r="FHL24" s="37"/>
      <c r="FHM24" s="37"/>
      <c r="FHN24" s="37"/>
      <c r="FHO24" s="37"/>
      <c r="FHP24" s="37"/>
      <c r="FHQ24" s="37"/>
      <c r="FHR24" s="37"/>
      <c r="FHS24" s="37"/>
      <c r="FHT24" s="37"/>
      <c r="FHU24" s="37"/>
      <c r="FHV24" s="37"/>
      <c r="FHW24" s="37"/>
      <c r="FHX24" s="37"/>
      <c r="FHY24" s="37"/>
      <c r="FHZ24" s="37"/>
      <c r="FIA24" s="37"/>
      <c r="FIB24" s="37"/>
      <c r="FIC24" s="37"/>
      <c r="FID24" s="37"/>
      <c r="FIE24" s="37"/>
      <c r="FIF24" s="37"/>
      <c r="FIG24" s="37"/>
      <c r="FIH24" s="37"/>
      <c r="FII24" s="37"/>
      <c r="FIJ24" s="37"/>
      <c r="FIK24" s="37"/>
      <c r="FIL24" s="37"/>
      <c r="FIM24" s="37"/>
      <c r="FIN24" s="37"/>
      <c r="FIO24" s="37"/>
      <c r="FIP24" s="37"/>
      <c r="FIQ24" s="37"/>
      <c r="FIR24" s="37"/>
      <c r="FIS24" s="37"/>
      <c r="FIT24" s="37"/>
      <c r="FIU24" s="37"/>
      <c r="FIV24" s="37"/>
      <c r="FIW24" s="37"/>
      <c r="FIX24" s="37"/>
      <c r="FIY24" s="37"/>
      <c r="FIZ24" s="37"/>
      <c r="FJA24" s="37"/>
      <c r="FJB24" s="37"/>
      <c r="FJC24" s="37"/>
      <c r="FJD24" s="37"/>
      <c r="FJE24" s="37"/>
      <c r="FJF24" s="37"/>
      <c r="FJG24" s="37"/>
      <c r="FJH24" s="37"/>
      <c r="FJI24" s="37"/>
      <c r="FJJ24" s="37"/>
      <c r="FJK24" s="37"/>
      <c r="FJL24" s="37"/>
      <c r="FJM24" s="37"/>
      <c r="FJN24" s="37"/>
      <c r="FJO24" s="37"/>
      <c r="FJP24" s="37"/>
      <c r="FJQ24" s="37"/>
      <c r="FJR24" s="37"/>
      <c r="FJS24" s="37"/>
      <c r="FJT24" s="37"/>
      <c r="FJU24" s="37"/>
      <c r="FJV24" s="37"/>
      <c r="FJW24" s="37"/>
      <c r="FJX24" s="37"/>
      <c r="FJY24" s="37"/>
      <c r="FJZ24" s="37"/>
      <c r="FKA24" s="37"/>
      <c r="FKB24" s="37"/>
      <c r="FKC24" s="37"/>
      <c r="FKD24" s="37"/>
      <c r="FKE24" s="37"/>
      <c r="FKF24" s="37"/>
      <c r="FKG24" s="37"/>
      <c r="FKH24" s="37"/>
      <c r="FKI24" s="37"/>
      <c r="FKJ24" s="37"/>
      <c r="FKK24" s="37"/>
      <c r="FKL24" s="37"/>
      <c r="FKM24" s="37"/>
      <c r="FKN24" s="37"/>
      <c r="FKO24" s="37"/>
      <c r="FKP24" s="37"/>
      <c r="FKQ24" s="37"/>
      <c r="FKR24" s="37"/>
      <c r="FKS24" s="37"/>
      <c r="FKT24" s="37"/>
      <c r="FKU24" s="37"/>
      <c r="FKV24" s="37"/>
      <c r="FKW24" s="37"/>
      <c r="FKX24" s="37"/>
      <c r="FKY24" s="37"/>
      <c r="FKZ24" s="37"/>
      <c r="FLA24" s="37"/>
      <c r="FLB24" s="37"/>
      <c r="FLC24" s="37"/>
      <c r="FLD24" s="37"/>
      <c r="FLE24" s="37"/>
      <c r="FLF24" s="37"/>
      <c r="FLG24" s="37"/>
      <c r="FLH24" s="37"/>
      <c r="FLI24" s="37"/>
      <c r="FLJ24" s="37"/>
      <c r="FLK24" s="37"/>
      <c r="FLL24" s="37"/>
      <c r="FLM24" s="37"/>
      <c r="FLN24" s="37"/>
      <c r="FLO24" s="37"/>
      <c r="FLP24" s="37"/>
      <c r="FLQ24" s="37"/>
      <c r="FLR24" s="37"/>
      <c r="FLS24" s="37"/>
      <c r="FLT24" s="37"/>
      <c r="FLU24" s="37"/>
      <c r="FLV24" s="37"/>
      <c r="FLW24" s="37"/>
      <c r="FLX24" s="37"/>
      <c r="FLY24" s="37"/>
      <c r="FLZ24" s="37"/>
      <c r="FMA24" s="37"/>
      <c r="FMB24" s="37"/>
      <c r="FMC24" s="37"/>
      <c r="FMD24" s="37"/>
      <c r="FME24" s="37"/>
      <c r="FMF24" s="37"/>
      <c r="FMG24" s="37"/>
      <c r="FMH24" s="37"/>
      <c r="FMI24" s="37"/>
      <c r="FMJ24" s="37"/>
      <c r="FMK24" s="37"/>
      <c r="FML24" s="37"/>
      <c r="FMM24" s="37"/>
      <c r="FMN24" s="37"/>
      <c r="FMO24" s="37"/>
      <c r="FMP24" s="37"/>
      <c r="FMQ24" s="37"/>
      <c r="FMR24" s="37"/>
      <c r="FMS24" s="37"/>
      <c r="FMT24" s="37"/>
      <c r="FMU24" s="37"/>
      <c r="FMV24" s="37"/>
      <c r="FMW24" s="37"/>
      <c r="FMX24" s="37"/>
      <c r="FMY24" s="37"/>
      <c r="FMZ24" s="37"/>
      <c r="FNA24" s="37"/>
      <c r="FNB24" s="37"/>
      <c r="FNC24" s="37"/>
      <c r="FND24" s="37"/>
      <c r="FNE24" s="37"/>
      <c r="FNF24" s="37"/>
      <c r="FNG24" s="37"/>
      <c r="FNH24" s="37"/>
      <c r="FNI24" s="37"/>
      <c r="FNJ24" s="37"/>
      <c r="FNK24" s="37"/>
      <c r="FNL24" s="37"/>
      <c r="FNM24" s="37"/>
      <c r="FNN24" s="37"/>
      <c r="FNO24" s="37"/>
      <c r="FNP24" s="37"/>
      <c r="FNQ24" s="37"/>
      <c r="FNR24" s="37"/>
      <c r="FNS24" s="37"/>
      <c r="FNT24" s="37"/>
      <c r="FNU24" s="37"/>
      <c r="FNV24" s="37"/>
      <c r="FNW24" s="37"/>
      <c r="FNX24" s="37"/>
      <c r="FNY24" s="37"/>
      <c r="FNZ24" s="37"/>
      <c r="FOA24" s="37"/>
      <c r="FOB24" s="37"/>
      <c r="FOC24" s="37"/>
      <c r="FOD24" s="37"/>
      <c r="FOE24" s="37"/>
      <c r="FOF24" s="37"/>
      <c r="FOG24" s="37"/>
      <c r="FOH24" s="37"/>
      <c r="FOI24" s="37"/>
      <c r="FOJ24" s="37"/>
      <c r="FOK24" s="37"/>
      <c r="FOL24" s="37"/>
      <c r="FOM24" s="37"/>
      <c r="FON24" s="37"/>
      <c r="FOO24" s="37"/>
      <c r="FOP24" s="37"/>
      <c r="FOQ24" s="37"/>
      <c r="FOR24" s="37"/>
      <c r="FOS24" s="37"/>
      <c r="FOT24" s="37"/>
      <c r="FOU24" s="37"/>
      <c r="FOV24" s="37"/>
      <c r="FOW24" s="37"/>
      <c r="FOX24" s="37"/>
      <c r="FOY24" s="37"/>
      <c r="FOZ24" s="37"/>
      <c r="FPA24" s="37"/>
      <c r="FPB24" s="37"/>
      <c r="FPC24" s="37"/>
      <c r="FPD24" s="37"/>
      <c r="FPE24" s="37"/>
      <c r="FPF24" s="37"/>
      <c r="FPG24" s="37"/>
      <c r="FPH24" s="37"/>
      <c r="FPI24" s="37"/>
      <c r="FPJ24" s="37"/>
      <c r="FPK24" s="37"/>
      <c r="FPL24" s="37"/>
      <c r="FPM24" s="37"/>
      <c r="FPN24" s="37"/>
      <c r="FPO24" s="37"/>
      <c r="FPP24" s="37"/>
      <c r="FPQ24" s="37"/>
      <c r="FPR24" s="37"/>
      <c r="FPS24" s="37"/>
      <c r="FPT24" s="37"/>
      <c r="FPU24" s="37"/>
      <c r="FPV24" s="37"/>
      <c r="FPW24" s="37"/>
      <c r="FPX24" s="37"/>
      <c r="FPY24" s="37"/>
      <c r="FPZ24" s="37"/>
      <c r="FQA24" s="37"/>
      <c r="FQB24" s="37"/>
      <c r="FQC24" s="37"/>
      <c r="FQD24" s="37"/>
      <c r="FQE24" s="37"/>
      <c r="FQF24" s="37"/>
      <c r="FQG24" s="37"/>
      <c r="FQH24" s="37"/>
      <c r="FQI24" s="37"/>
      <c r="FQJ24" s="37"/>
      <c r="FQK24" s="37"/>
      <c r="FQL24" s="37"/>
      <c r="FQM24" s="37"/>
      <c r="FQN24" s="37"/>
      <c r="FQO24" s="37"/>
      <c r="FQP24" s="37"/>
      <c r="FQQ24" s="37"/>
      <c r="FQR24" s="37"/>
      <c r="FQS24" s="37"/>
      <c r="FQT24" s="37"/>
      <c r="FQU24" s="37"/>
      <c r="FQV24" s="37"/>
      <c r="FQW24" s="37"/>
      <c r="FQX24" s="37"/>
      <c r="FQY24" s="37"/>
      <c r="FQZ24" s="37"/>
      <c r="FRA24" s="37"/>
      <c r="FRB24" s="37"/>
      <c r="FRC24" s="37"/>
      <c r="FRD24" s="37"/>
      <c r="FRE24" s="37"/>
      <c r="FRF24" s="37"/>
      <c r="FRG24" s="37"/>
      <c r="FRH24" s="37"/>
      <c r="FRI24" s="37"/>
      <c r="FRJ24" s="37"/>
      <c r="FRK24" s="37"/>
      <c r="FRL24" s="37"/>
      <c r="FRM24" s="37"/>
      <c r="FRN24" s="37"/>
      <c r="FRO24" s="37"/>
      <c r="FRP24" s="37"/>
      <c r="FRQ24" s="37"/>
      <c r="FRR24" s="37"/>
      <c r="FRS24" s="37"/>
      <c r="FRT24" s="37"/>
      <c r="FRU24" s="37"/>
      <c r="FRV24" s="37"/>
      <c r="FRW24" s="37"/>
      <c r="FRX24" s="37"/>
      <c r="FRY24" s="37"/>
      <c r="FRZ24" s="37"/>
      <c r="FSA24" s="37"/>
      <c r="FSB24" s="37"/>
      <c r="FSC24" s="37"/>
      <c r="FSD24" s="37"/>
      <c r="FSE24" s="37"/>
      <c r="FSF24" s="37"/>
      <c r="FSG24" s="37"/>
      <c r="FSH24" s="37"/>
      <c r="FSI24" s="37"/>
      <c r="FSJ24" s="37"/>
      <c r="FSK24" s="37"/>
      <c r="FSL24" s="37"/>
      <c r="FSM24" s="37"/>
      <c r="FSN24" s="37"/>
      <c r="FSO24" s="37"/>
      <c r="FSP24" s="37"/>
      <c r="FSQ24" s="37"/>
      <c r="FSR24" s="37"/>
      <c r="FSS24" s="37"/>
      <c r="FST24" s="37"/>
      <c r="FSU24" s="37"/>
      <c r="FSV24" s="37"/>
      <c r="FSW24" s="37"/>
      <c r="FSX24" s="37"/>
      <c r="FSY24" s="37"/>
      <c r="FSZ24" s="37"/>
      <c r="FTA24" s="37"/>
      <c r="FTB24" s="37"/>
      <c r="FTC24" s="37"/>
      <c r="FTD24" s="37"/>
      <c r="FTE24" s="37"/>
      <c r="FTF24" s="37"/>
      <c r="FTG24" s="37"/>
      <c r="FTH24" s="37"/>
      <c r="FTI24" s="37"/>
      <c r="FTJ24" s="37"/>
      <c r="FTK24" s="37"/>
      <c r="FTL24" s="37"/>
      <c r="FTM24" s="37"/>
      <c r="FTN24" s="37"/>
      <c r="FTO24" s="37"/>
      <c r="FTP24" s="37"/>
      <c r="FTQ24" s="37"/>
      <c r="FTR24" s="37"/>
      <c r="FTS24" s="37"/>
      <c r="FTT24" s="37"/>
      <c r="FTU24" s="37"/>
      <c r="FTV24" s="37"/>
      <c r="FTW24" s="37"/>
      <c r="FTX24" s="37"/>
      <c r="FTY24" s="37"/>
      <c r="FTZ24" s="37"/>
      <c r="FUA24" s="37"/>
      <c r="FUB24" s="37"/>
      <c r="FUC24" s="37"/>
      <c r="FUD24" s="37"/>
      <c r="FUE24" s="37"/>
      <c r="FUF24" s="37"/>
      <c r="FUG24" s="37"/>
      <c r="FUH24" s="37"/>
      <c r="FUI24" s="37"/>
      <c r="FUJ24" s="37"/>
      <c r="FUK24" s="37"/>
      <c r="FUL24" s="37"/>
      <c r="FUM24" s="37"/>
      <c r="FUN24" s="37"/>
      <c r="FUO24" s="37"/>
      <c r="FUP24" s="37"/>
      <c r="FUQ24" s="37"/>
      <c r="FUR24" s="37"/>
      <c r="FUS24" s="37"/>
      <c r="FUT24" s="37"/>
      <c r="FUU24" s="37"/>
      <c r="FUV24" s="37"/>
      <c r="FUW24" s="37"/>
      <c r="FUX24" s="37"/>
      <c r="FUY24" s="37"/>
      <c r="FUZ24" s="37"/>
      <c r="FVA24" s="37"/>
      <c r="FVB24" s="37"/>
      <c r="FVC24" s="37"/>
      <c r="FVD24" s="37"/>
      <c r="FVE24" s="37"/>
      <c r="FVF24" s="37"/>
      <c r="FVG24" s="37"/>
      <c r="FVH24" s="37"/>
      <c r="FVI24" s="37"/>
      <c r="FVJ24" s="37"/>
      <c r="FVK24" s="37"/>
      <c r="FVL24" s="37"/>
      <c r="FVM24" s="37"/>
      <c r="FVN24" s="37"/>
      <c r="FVO24" s="37"/>
      <c r="FVP24" s="37"/>
      <c r="FVQ24" s="37"/>
      <c r="FVR24" s="37"/>
      <c r="FVS24" s="37"/>
      <c r="FVT24" s="37"/>
      <c r="FVU24" s="37"/>
      <c r="FVV24" s="37"/>
      <c r="FVW24" s="37"/>
      <c r="FVX24" s="37"/>
      <c r="FVY24" s="37"/>
      <c r="FVZ24" s="37"/>
      <c r="FWA24" s="37"/>
      <c r="FWB24" s="37"/>
      <c r="FWC24" s="37"/>
      <c r="FWD24" s="37"/>
      <c r="FWE24" s="37"/>
      <c r="FWF24" s="37"/>
      <c r="FWG24" s="37"/>
      <c r="FWH24" s="37"/>
      <c r="FWI24" s="37"/>
      <c r="FWJ24" s="37"/>
      <c r="FWK24" s="37"/>
      <c r="FWL24" s="37"/>
      <c r="FWM24" s="37"/>
      <c r="FWN24" s="37"/>
      <c r="FWO24" s="37"/>
      <c r="FWP24" s="37"/>
      <c r="FWQ24" s="37"/>
      <c r="FWR24" s="37"/>
      <c r="FWS24" s="37"/>
      <c r="FWT24" s="37"/>
      <c r="FWU24" s="37"/>
      <c r="FWV24" s="37"/>
      <c r="FWW24" s="37"/>
      <c r="FWX24" s="37"/>
      <c r="FWY24" s="37"/>
      <c r="FWZ24" s="37"/>
      <c r="FXA24" s="37"/>
      <c r="FXB24" s="37"/>
      <c r="FXC24" s="37"/>
      <c r="FXD24" s="37"/>
      <c r="FXE24" s="37"/>
      <c r="FXF24" s="37"/>
      <c r="FXG24" s="37"/>
      <c r="FXH24" s="37"/>
      <c r="FXI24" s="37"/>
      <c r="FXJ24" s="37"/>
      <c r="FXK24" s="37"/>
      <c r="FXL24" s="37"/>
      <c r="FXM24" s="37"/>
      <c r="FXN24" s="37"/>
      <c r="FXO24" s="37"/>
      <c r="FXP24" s="37"/>
      <c r="FXQ24" s="37"/>
      <c r="FXR24" s="37"/>
      <c r="FXS24" s="37"/>
      <c r="FXT24" s="37"/>
      <c r="FXU24" s="37"/>
      <c r="FXV24" s="37"/>
      <c r="FXW24" s="37"/>
      <c r="FXX24" s="37"/>
      <c r="FXY24" s="37"/>
      <c r="FXZ24" s="37"/>
      <c r="FYA24" s="37"/>
      <c r="FYB24" s="37"/>
      <c r="FYC24" s="37"/>
      <c r="FYD24" s="37"/>
      <c r="FYE24" s="37"/>
      <c r="FYF24" s="37"/>
      <c r="FYG24" s="37"/>
      <c r="FYH24" s="37"/>
      <c r="FYI24" s="37"/>
      <c r="FYJ24" s="37"/>
      <c r="FYK24" s="37"/>
      <c r="FYL24" s="37"/>
      <c r="FYM24" s="37"/>
      <c r="FYN24" s="37"/>
      <c r="FYO24" s="37"/>
      <c r="FYP24" s="37"/>
      <c r="FYQ24" s="37"/>
      <c r="FYR24" s="37"/>
      <c r="FYS24" s="37"/>
      <c r="FYT24" s="37"/>
      <c r="FYU24" s="37"/>
      <c r="FYV24" s="37"/>
      <c r="FYW24" s="37"/>
      <c r="FYX24" s="37"/>
      <c r="FYY24" s="37"/>
      <c r="FYZ24" s="37"/>
      <c r="FZA24" s="37"/>
      <c r="FZB24" s="37"/>
      <c r="FZC24" s="37"/>
      <c r="FZD24" s="37"/>
      <c r="FZE24" s="37"/>
      <c r="FZF24" s="37"/>
      <c r="FZG24" s="37"/>
      <c r="FZH24" s="37"/>
      <c r="FZI24" s="37"/>
      <c r="FZJ24" s="37"/>
      <c r="FZK24" s="37"/>
      <c r="FZL24" s="37"/>
      <c r="FZM24" s="37"/>
      <c r="FZN24" s="37"/>
      <c r="FZO24" s="37"/>
      <c r="FZP24" s="37"/>
      <c r="FZQ24" s="37"/>
      <c r="FZR24" s="37"/>
      <c r="FZS24" s="37"/>
      <c r="FZT24" s="37"/>
      <c r="FZU24" s="37"/>
      <c r="FZV24" s="37"/>
      <c r="FZW24" s="37"/>
      <c r="FZX24" s="37"/>
      <c r="FZY24" s="37"/>
      <c r="FZZ24" s="37"/>
      <c r="GAA24" s="37"/>
      <c r="GAB24" s="37"/>
      <c r="GAC24" s="37"/>
      <c r="GAD24" s="37"/>
      <c r="GAE24" s="37"/>
      <c r="GAF24" s="37"/>
      <c r="GAG24" s="37"/>
      <c r="GAH24" s="37"/>
      <c r="GAI24" s="37"/>
      <c r="GAJ24" s="37"/>
      <c r="GAK24" s="37"/>
      <c r="GAL24" s="37"/>
      <c r="GAM24" s="37"/>
      <c r="GAN24" s="37"/>
      <c r="GAO24" s="37"/>
      <c r="GAP24" s="37"/>
      <c r="GAQ24" s="37"/>
      <c r="GAR24" s="37"/>
      <c r="GAS24" s="37"/>
      <c r="GAT24" s="37"/>
      <c r="GAU24" s="37"/>
      <c r="GAV24" s="37"/>
      <c r="GAW24" s="37"/>
      <c r="GAX24" s="37"/>
      <c r="GAY24" s="37"/>
      <c r="GAZ24" s="37"/>
      <c r="GBA24" s="37"/>
      <c r="GBB24" s="37"/>
      <c r="GBC24" s="37"/>
      <c r="GBD24" s="37"/>
      <c r="GBE24" s="37"/>
      <c r="GBF24" s="37"/>
      <c r="GBG24" s="37"/>
      <c r="GBH24" s="37"/>
      <c r="GBI24" s="37"/>
      <c r="GBJ24" s="37"/>
      <c r="GBK24" s="37"/>
      <c r="GBL24" s="37"/>
      <c r="GBM24" s="37"/>
      <c r="GBN24" s="37"/>
      <c r="GBO24" s="37"/>
      <c r="GBP24" s="37"/>
      <c r="GBQ24" s="37"/>
      <c r="GBR24" s="37"/>
      <c r="GBS24" s="37"/>
      <c r="GBT24" s="37"/>
      <c r="GBU24" s="37"/>
      <c r="GBV24" s="37"/>
      <c r="GBW24" s="37"/>
      <c r="GBX24" s="37"/>
      <c r="GBY24" s="37"/>
      <c r="GBZ24" s="37"/>
      <c r="GCA24" s="37"/>
      <c r="GCB24" s="37"/>
      <c r="GCC24" s="37"/>
      <c r="GCD24" s="37"/>
      <c r="GCE24" s="37"/>
      <c r="GCF24" s="37"/>
      <c r="GCG24" s="37"/>
      <c r="GCH24" s="37"/>
      <c r="GCI24" s="37"/>
      <c r="GCJ24" s="37"/>
      <c r="GCK24" s="37"/>
      <c r="GCL24" s="37"/>
      <c r="GCM24" s="37"/>
      <c r="GCN24" s="37"/>
      <c r="GCO24" s="37"/>
      <c r="GCP24" s="37"/>
      <c r="GCQ24" s="37"/>
      <c r="GCR24" s="37"/>
      <c r="GCS24" s="37"/>
      <c r="GCT24" s="37"/>
      <c r="GCU24" s="37"/>
      <c r="GCV24" s="37"/>
      <c r="GCW24" s="37"/>
      <c r="GCX24" s="37"/>
      <c r="GCY24" s="37"/>
      <c r="GCZ24" s="37"/>
      <c r="GDA24" s="37"/>
      <c r="GDB24" s="37"/>
      <c r="GDC24" s="37"/>
      <c r="GDD24" s="37"/>
      <c r="GDE24" s="37"/>
      <c r="GDF24" s="37"/>
      <c r="GDG24" s="37"/>
      <c r="GDH24" s="37"/>
      <c r="GDI24" s="37"/>
      <c r="GDJ24" s="37"/>
      <c r="GDK24" s="37"/>
      <c r="GDL24" s="37"/>
      <c r="GDM24" s="37"/>
      <c r="GDN24" s="37"/>
      <c r="GDO24" s="37"/>
      <c r="GDP24" s="37"/>
      <c r="GDQ24" s="37"/>
      <c r="GDR24" s="37"/>
      <c r="GDS24" s="37"/>
      <c r="GDT24" s="37"/>
      <c r="GDU24" s="37"/>
      <c r="GDV24" s="37"/>
      <c r="GDW24" s="37"/>
      <c r="GDX24" s="37"/>
      <c r="GDY24" s="37"/>
      <c r="GDZ24" s="37"/>
      <c r="GEA24" s="37"/>
      <c r="GEB24" s="37"/>
      <c r="GEC24" s="37"/>
      <c r="GED24" s="37"/>
      <c r="GEE24" s="37"/>
      <c r="GEF24" s="37"/>
      <c r="GEG24" s="37"/>
      <c r="GEH24" s="37"/>
      <c r="GEI24" s="37"/>
      <c r="GEJ24" s="37"/>
      <c r="GEK24" s="37"/>
      <c r="GEL24" s="37"/>
      <c r="GEM24" s="37"/>
      <c r="GEN24" s="37"/>
      <c r="GEO24" s="37"/>
      <c r="GEP24" s="37"/>
      <c r="GEQ24" s="37"/>
      <c r="GER24" s="37"/>
      <c r="GES24" s="37"/>
      <c r="GET24" s="37"/>
      <c r="GEU24" s="37"/>
      <c r="GEV24" s="37"/>
      <c r="GEW24" s="37"/>
      <c r="GEX24" s="37"/>
      <c r="GEY24" s="37"/>
      <c r="GEZ24" s="37"/>
      <c r="GFA24" s="37"/>
      <c r="GFB24" s="37"/>
      <c r="GFC24" s="37"/>
      <c r="GFD24" s="37"/>
      <c r="GFE24" s="37"/>
      <c r="GFF24" s="37"/>
      <c r="GFG24" s="37"/>
      <c r="GFH24" s="37"/>
      <c r="GFI24" s="37"/>
      <c r="GFJ24" s="37"/>
      <c r="GFK24" s="37"/>
      <c r="GFL24" s="37"/>
      <c r="GFM24" s="37"/>
      <c r="GFN24" s="37"/>
      <c r="GFO24" s="37"/>
      <c r="GFP24" s="37"/>
      <c r="GFQ24" s="37"/>
      <c r="GFR24" s="37"/>
      <c r="GFS24" s="37"/>
      <c r="GFT24" s="37"/>
      <c r="GFU24" s="37"/>
      <c r="GFV24" s="37"/>
      <c r="GFW24" s="37"/>
      <c r="GFX24" s="37"/>
      <c r="GFY24" s="37"/>
      <c r="GFZ24" s="37"/>
      <c r="GGA24" s="37"/>
      <c r="GGB24" s="37"/>
      <c r="GGC24" s="37"/>
      <c r="GGD24" s="37"/>
      <c r="GGE24" s="37"/>
      <c r="GGF24" s="37"/>
      <c r="GGG24" s="37"/>
      <c r="GGH24" s="37"/>
      <c r="GGI24" s="37"/>
      <c r="GGJ24" s="37"/>
      <c r="GGK24" s="37"/>
      <c r="GGL24" s="37"/>
      <c r="GGM24" s="37"/>
      <c r="GGN24" s="37"/>
      <c r="GGO24" s="37"/>
      <c r="GGP24" s="37"/>
      <c r="GGQ24" s="37"/>
      <c r="GGR24" s="37"/>
      <c r="GGS24" s="37"/>
      <c r="GGT24" s="37"/>
      <c r="GGU24" s="37"/>
      <c r="GGV24" s="37"/>
      <c r="GGW24" s="37"/>
      <c r="GGX24" s="37"/>
      <c r="GGY24" s="37"/>
      <c r="GGZ24" s="37"/>
      <c r="GHA24" s="37"/>
      <c r="GHB24" s="37"/>
      <c r="GHC24" s="37"/>
      <c r="GHD24" s="37"/>
      <c r="GHE24" s="37"/>
      <c r="GHF24" s="37"/>
      <c r="GHG24" s="37"/>
      <c r="GHH24" s="37"/>
      <c r="GHI24" s="37"/>
      <c r="GHJ24" s="37"/>
      <c r="GHK24" s="37"/>
      <c r="GHL24" s="37"/>
      <c r="GHM24" s="37"/>
      <c r="GHN24" s="37"/>
      <c r="GHO24" s="37"/>
      <c r="GHP24" s="37"/>
      <c r="GHQ24" s="37"/>
      <c r="GHR24" s="37"/>
      <c r="GHS24" s="37"/>
      <c r="GHT24" s="37"/>
      <c r="GHU24" s="37"/>
      <c r="GHV24" s="37"/>
      <c r="GHW24" s="37"/>
      <c r="GHX24" s="37"/>
      <c r="GHY24" s="37"/>
      <c r="GHZ24" s="37"/>
      <c r="GIA24" s="37"/>
      <c r="GIB24" s="37"/>
      <c r="GIC24" s="37"/>
      <c r="GID24" s="37"/>
      <c r="GIE24" s="37"/>
      <c r="GIF24" s="37"/>
      <c r="GIG24" s="37"/>
      <c r="GIH24" s="37"/>
      <c r="GII24" s="37"/>
      <c r="GIJ24" s="37"/>
      <c r="GIK24" s="37"/>
      <c r="GIL24" s="37"/>
      <c r="GIM24" s="37"/>
      <c r="GIN24" s="37"/>
      <c r="GIO24" s="37"/>
      <c r="GIP24" s="37"/>
      <c r="GIQ24" s="37"/>
      <c r="GIR24" s="37"/>
      <c r="GIS24" s="37"/>
      <c r="GIT24" s="37"/>
      <c r="GIU24" s="37"/>
      <c r="GIV24" s="37"/>
      <c r="GIW24" s="37"/>
      <c r="GIX24" s="37"/>
      <c r="GIY24" s="37"/>
      <c r="GIZ24" s="37"/>
      <c r="GJA24" s="37"/>
      <c r="GJB24" s="37"/>
      <c r="GJC24" s="37"/>
      <c r="GJD24" s="37"/>
      <c r="GJE24" s="37"/>
      <c r="GJF24" s="37"/>
      <c r="GJG24" s="37"/>
      <c r="GJH24" s="37"/>
      <c r="GJI24" s="37"/>
      <c r="GJJ24" s="37"/>
      <c r="GJK24" s="37"/>
      <c r="GJL24" s="37"/>
      <c r="GJM24" s="37"/>
      <c r="GJN24" s="37"/>
      <c r="GJO24" s="37"/>
      <c r="GJP24" s="37"/>
      <c r="GJQ24" s="37"/>
      <c r="GJR24" s="37"/>
      <c r="GJS24" s="37"/>
      <c r="GJT24" s="37"/>
      <c r="GJU24" s="37"/>
      <c r="GJV24" s="37"/>
      <c r="GJW24" s="37"/>
      <c r="GJX24" s="37"/>
      <c r="GJY24" s="37"/>
      <c r="GJZ24" s="37"/>
      <c r="GKA24" s="37"/>
      <c r="GKB24" s="37"/>
      <c r="GKC24" s="37"/>
      <c r="GKD24" s="37"/>
      <c r="GKE24" s="37"/>
      <c r="GKF24" s="37"/>
      <c r="GKG24" s="37"/>
      <c r="GKH24" s="37"/>
      <c r="GKI24" s="37"/>
      <c r="GKJ24" s="37"/>
      <c r="GKK24" s="37"/>
      <c r="GKL24" s="37"/>
      <c r="GKM24" s="37"/>
      <c r="GKN24" s="37"/>
      <c r="GKO24" s="37"/>
      <c r="GKP24" s="37"/>
      <c r="GKQ24" s="37"/>
      <c r="GKR24" s="37"/>
      <c r="GKS24" s="37"/>
      <c r="GKT24" s="37"/>
      <c r="GKU24" s="37"/>
      <c r="GKV24" s="37"/>
      <c r="GKW24" s="37"/>
      <c r="GKX24" s="37"/>
      <c r="GKY24" s="37"/>
      <c r="GKZ24" s="37"/>
      <c r="GLA24" s="37"/>
      <c r="GLB24" s="37"/>
      <c r="GLC24" s="37"/>
      <c r="GLD24" s="37"/>
      <c r="GLE24" s="37"/>
      <c r="GLF24" s="37"/>
      <c r="GLG24" s="37"/>
      <c r="GLH24" s="37"/>
      <c r="GLI24" s="37"/>
      <c r="GLJ24" s="37"/>
      <c r="GLK24" s="37"/>
      <c r="GLL24" s="37"/>
      <c r="GLM24" s="37"/>
      <c r="GLN24" s="37"/>
      <c r="GLO24" s="37"/>
      <c r="GLP24" s="37"/>
      <c r="GLQ24" s="37"/>
      <c r="GLR24" s="37"/>
      <c r="GLS24" s="37"/>
      <c r="GLT24" s="37"/>
      <c r="GLU24" s="37"/>
      <c r="GLV24" s="37"/>
      <c r="GLW24" s="37"/>
      <c r="GLX24" s="37"/>
      <c r="GLY24" s="37"/>
      <c r="GLZ24" s="37"/>
      <c r="GMA24" s="37"/>
      <c r="GMB24" s="37"/>
      <c r="GMC24" s="37"/>
      <c r="GMD24" s="37"/>
      <c r="GME24" s="37"/>
      <c r="GMF24" s="37"/>
      <c r="GMG24" s="37"/>
      <c r="GMH24" s="37"/>
      <c r="GMI24" s="37"/>
      <c r="GMJ24" s="37"/>
      <c r="GMK24" s="37"/>
      <c r="GML24" s="37"/>
      <c r="GMM24" s="37"/>
      <c r="GMN24" s="37"/>
      <c r="GMO24" s="37"/>
      <c r="GMP24" s="37"/>
      <c r="GMQ24" s="37"/>
      <c r="GMR24" s="37"/>
      <c r="GMS24" s="37"/>
      <c r="GMT24" s="37"/>
      <c r="GMU24" s="37"/>
      <c r="GMV24" s="37"/>
      <c r="GMW24" s="37"/>
      <c r="GMX24" s="37"/>
      <c r="GMY24" s="37"/>
      <c r="GMZ24" s="37"/>
      <c r="GNA24" s="37"/>
      <c r="GNB24" s="37"/>
      <c r="GNC24" s="37"/>
      <c r="GND24" s="37"/>
      <c r="GNE24" s="37"/>
      <c r="GNF24" s="37"/>
      <c r="GNG24" s="37"/>
      <c r="GNH24" s="37"/>
      <c r="GNI24" s="37"/>
      <c r="GNJ24" s="37"/>
      <c r="GNK24" s="37"/>
      <c r="GNL24" s="37"/>
      <c r="GNM24" s="37"/>
      <c r="GNN24" s="37"/>
      <c r="GNO24" s="37"/>
      <c r="GNP24" s="37"/>
      <c r="GNQ24" s="37"/>
      <c r="GNR24" s="37"/>
      <c r="GNS24" s="37"/>
      <c r="GNT24" s="37"/>
      <c r="GNU24" s="37"/>
      <c r="GNV24" s="37"/>
      <c r="GNW24" s="37"/>
      <c r="GNX24" s="37"/>
      <c r="GNY24" s="37"/>
      <c r="GNZ24" s="37"/>
      <c r="GOA24" s="37"/>
      <c r="GOB24" s="37"/>
      <c r="GOC24" s="37"/>
      <c r="GOD24" s="37"/>
      <c r="GOE24" s="37"/>
      <c r="GOF24" s="37"/>
      <c r="GOG24" s="37"/>
      <c r="GOH24" s="37"/>
      <c r="GOI24" s="37"/>
      <c r="GOJ24" s="37"/>
      <c r="GOK24" s="37"/>
      <c r="GOL24" s="37"/>
      <c r="GOM24" s="37"/>
      <c r="GON24" s="37"/>
      <c r="GOO24" s="37"/>
      <c r="GOP24" s="37"/>
      <c r="GOQ24" s="37"/>
      <c r="GOR24" s="37"/>
      <c r="GOS24" s="37"/>
      <c r="GOT24" s="37"/>
      <c r="GOU24" s="37"/>
      <c r="GOV24" s="37"/>
      <c r="GOW24" s="37"/>
      <c r="GOX24" s="37"/>
      <c r="GOY24" s="37"/>
      <c r="GOZ24" s="37"/>
      <c r="GPA24" s="37"/>
      <c r="GPB24" s="37"/>
      <c r="GPC24" s="37"/>
      <c r="GPD24" s="37"/>
      <c r="GPE24" s="37"/>
      <c r="GPF24" s="37"/>
      <c r="GPG24" s="37"/>
      <c r="GPH24" s="37"/>
      <c r="GPI24" s="37"/>
      <c r="GPJ24" s="37"/>
      <c r="GPK24" s="37"/>
      <c r="GPL24" s="37"/>
      <c r="GPM24" s="37"/>
      <c r="GPN24" s="37"/>
      <c r="GPO24" s="37"/>
      <c r="GPP24" s="37"/>
      <c r="GPQ24" s="37"/>
      <c r="GPR24" s="37"/>
      <c r="GPS24" s="37"/>
      <c r="GPT24" s="37"/>
      <c r="GPU24" s="37"/>
      <c r="GPV24" s="37"/>
      <c r="GPW24" s="37"/>
      <c r="GPX24" s="37"/>
      <c r="GPY24" s="37"/>
      <c r="GPZ24" s="37"/>
      <c r="GQA24" s="37"/>
      <c r="GQB24" s="37"/>
      <c r="GQC24" s="37"/>
      <c r="GQD24" s="37"/>
      <c r="GQE24" s="37"/>
      <c r="GQF24" s="37"/>
      <c r="GQG24" s="37"/>
      <c r="GQH24" s="37"/>
      <c r="GQI24" s="37"/>
      <c r="GQJ24" s="37"/>
      <c r="GQK24" s="37"/>
      <c r="GQL24" s="37"/>
      <c r="GQM24" s="37"/>
      <c r="GQN24" s="37"/>
      <c r="GQO24" s="37"/>
      <c r="GQP24" s="37"/>
      <c r="GQQ24" s="37"/>
      <c r="GQR24" s="37"/>
      <c r="GQS24" s="37"/>
      <c r="GQT24" s="37"/>
      <c r="GQU24" s="37"/>
      <c r="GQV24" s="37"/>
      <c r="GQW24" s="37"/>
      <c r="GQX24" s="37"/>
      <c r="GQY24" s="37"/>
      <c r="GQZ24" s="37"/>
      <c r="GRA24" s="37"/>
      <c r="GRB24" s="37"/>
      <c r="GRC24" s="37"/>
      <c r="GRD24" s="37"/>
      <c r="GRE24" s="37"/>
      <c r="GRF24" s="37"/>
      <c r="GRG24" s="37"/>
      <c r="GRH24" s="37"/>
      <c r="GRI24" s="37"/>
      <c r="GRJ24" s="37"/>
      <c r="GRK24" s="37"/>
      <c r="GRL24" s="37"/>
      <c r="GRM24" s="37"/>
      <c r="GRN24" s="37"/>
      <c r="GRO24" s="37"/>
      <c r="GRP24" s="37"/>
      <c r="GRQ24" s="37"/>
      <c r="GRR24" s="37"/>
      <c r="GRS24" s="37"/>
      <c r="GRT24" s="37"/>
      <c r="GRU24" s="37"/>
      <c r="GRV24" s="37"/>
      <c r="GRW24" s="37"/>
      <c r="GRX24" s="37"/>
      <c r="GRY24" s="37"/>
      <c r="GRZ24" s="37"/>
      <c r="GSA24" s="37"/>
      <c r="GSB24" s="37"/>
      <c r="GSC24" s="37"/>
      <c r="GSD24" s="37"/>
      <c r="GSE24" s="37"/>
      <c r="GSF24" s="37"/>
      <c r="GSG24" s="37"/>
      <c r="GSH24" s="37"/>
      <c r="GSI24" s="37"/>
      <c r="GSJ24" s="37"/>
      <c r="GSK24" s="37"/>
      <c r="GSL24" s="37"/>
      <c r="GSM24" s="37"/>
      <c r="GSN24" s="37"/>
      <c r="GSO24" s="37"/>
      <c r="GSP24" s="37"/>
      <c r="GSQ24" s="37"/>
      <c r="GSR24" s="37"/>
      <c r="GSS24" s="37"/>
      <c r="GST24" s="37"/>
      <c r="GSU24" s="37"/>
      <c r="GSV24" s="37"/>
      <c r="GSW24" s="37"/>
      <c r="GSX24" s="37"/>
      <c r="GSY24" s="37"/>
      <c r="GSZ24" s="37"/>
      <c r="GTA24" s="37"/>
      <c r="GTB24" s="37"/>
      <c r="GTC24" s="37"/>
      <c r="GTD24" s="37"/>
      <c r="GTE24" s="37"/>
      <c r="GTF24" s="37"/>
      <c r="GTG24" s="37"/>
      <c r="GTH24" s="37"/>
      <c r="GTI24" s="37"/>
      <c r="GTJ24" s="37"/>
      <c r="GTK24" s="37"/>
      <c r="GTL24" s="37"/>
      <c r="GTM24" s="37"/>
      <c r="GTN24" s="37"/>
      <c r="GTO24" s="37"/>
      <c r="GTP24" s="37"/>
      <c r="GTQ24" s="37"/>
      <c r="GTR24" s="37"/>
      <c r="GTS24" s="37"/>
      <c r="GTT24" s="37"/>
      <c r="GTU24" s="37"/>
      <c r="GTV24" s="37"/>
      <c r="GTW24" s="37"/>
      <c r="GTX24" s="37"/>
      <c r="GTY24" s="37"/>
      <c r="GTZ24" s="37"/>
      <c r="GUA24" s="37"/>
      <c r="GUB24" s="37"/>
      <c r="GUC24" s="37"/>
      <c r="GUD24" s="37"/>
      <c r="GUE24" s="37"/>
      <c r="GUF24" s="37"/>
      <c r="GUG24" s="37"/>
      <c r="GUH24" s="37"/>
      <c r="GUI24" s="37"/>
      <c r="GUJ24" s="37"/>
      <c r="GUK24" s="37"/>
      <c r="GUL24" s="37"/>
      <c r="GUM24" s="37"/>
      <c r="GUN24" s="37"/>
      <c r="GUO24" s="37"/>
      <c r="GUP24" s="37"/>
      <c r="GUQ24" s="37"/>
      <c r="GUR24" s="37"/>
      <c r="GUS24" s="37"/>
      <c r="GUT24" s="37"/>
      <c r="GUU24" s="37"/>
      <c r="GUV24" s="37"/>
      <c r="GUW24" s="37"/>
      <c r="GUX24" s="37"/>
      <c r="GUY24" s="37"/>
      <c r="GUZ24" s="37"/>
      <c r="GVA24" s="37"/>
      <c r="GVB24" s="37"/>
      <c r="GVC24" s="37"/>
      <c r="GVD24" s="37"/>
      <c r="GVE24" s="37"/>
      <c r="GVF24" s="37"/>
      <c r="GVG24" s="37"/>
      <c r="GVH24" s="37"/>
      <c r="GVI24" s="37"/>
      <c r="GVJ24" s="37"/>
      <c r="GVK24" s="37"/>
      <c r="GVL24" s="37"/>
      <c r="GVM24" s="37"/>
      <c r="GVN24" s="37"/>
      <c r="GVO24" s="37"/>
      <c r="GVP24" s="37"/>
      <c r="GVQ24" s="37"/>
      <c r="GVR24" s="37"/>
      <c r="GVS24" s="37"/>
      <c r="GVT24" s="37"/>
      <c r="GVU24" s="37"/>
      <c r="GVV24" s="37"/>
      <c r="GVW24" s="37"/>
      <c r="GVX24" s="37"/>
      <c r="GVY24" s="37"/>
      <c r="GVZ24" s="37"/>
      <c r="GWA24" s="37"/>
      <c r="GWB24" s="37"/>
      <c r="GWC24" s="37"/>
      <c r="GWD24" s="37"/>
      <c r="GWE24" s="37"/>
      <c r="GWF24" s="37"/>
      <c r="GWG24" s="37"/>
      <c r="GWH24" s="37"/>
      <c r="GWI24" s="37"/>
      <c r="GWJ24" s="37"/>
      <c r="GWK24" s="37"/>
      <c r="GWL24" s="37"/>
      <c r="GWM24" s="37"/>
      <c r="GWN24" s="37"/>
      <c r="GWO24" s="37"/>
      <c r="GWP24" s="37"/>
      <c r="GWQ24" s="37"/>
      <c r="GWR24" s="37"/>
      <c r="GWS24" s="37"/>
      <c r="GWT24" s="37"/>
      <c r="GWU24" s="37"/>
      <c r="GWV24" s="37"/>
      <c r="GWW24" s="37"/>
      <c r="GWX24" s="37"/>
      <c r="GWY24" s="37"/>
      <c r="GWZ24" s="37"/>
      <c r="GXA24" s="37"/>
      <c r="GXB24" s="37"/>
      <c r="GXC24" s="37"/>
      <c r="GXD24" s="37"/>
      <c r="GXE24" s="37"/>
      <c r="GXF24" s="37"/>
      <c r="GXG24" s="37"/>
      <c r="GXH24" s="37"/>
      <c r="GXI24" s="37"/>
      <c r="GXJ24" s="37"/>
      <c r="GXK24" s="37"/>
      <c r="GXL24" s="37"/>
      <c r="GXM24" s="37"/>
      <c r="GXN24" s="37"/>
      <c r="GXO24" s="37"/>
      <c r="GXP24" s="37"/>
      <c r="GXQ24" s="37"/>
      <c r="GXR24" s="37"/>
      <c r="GXS24" s="37"/>
      <c r="GXT24" s="37"/>
      <c r="GXU24" s="37"/>
      <c r="GXV24" s="37"/>
      <c r="GXW24" s="37"/>
      <c r="GXX24" s="37"/>
      <c r="GXY24" s="37"/>
      <c r="GXZ24" s="37"/>
      <c r="GYA24" s="37"/>
      <c r="GYB24" s="37"/>
      <c r="GYC24" s="37"/>
      <c r="GYD24" s="37"/>
      <c r="GYE24" s="37"/>
      <c r="GYF24" s="37"/>
      <c r="GYG24" s="37"/>
      <c r="GYH24" s="37"/>
      <c r="GYI24" s="37"/>
      <c r="GYJ24" s="37"/>
      <c r="GYK24" s="37"/>
      <c r="GYL24" s="37"/>
      <c r="GYM24" s="37"/>
      <c r="GYN24" s="37"/>
      <c r="GYO24" s="37"/>
      <c r="GYP24" s="37"/>
      <c r="GYQ24" s="37"/>
      <c r="GYR24" s="37"/>
      <c r="GYS24" s="37"/>
      <c r="GYT24" s="37"/>
      <c r="GYU24" s="37"/>
      <c r="GYV24" s="37"/>
      <c r="GYW24" s="37"/>
      <c r="GYX24" s="37"/>
      <c r="GYY24" s="37"/>
      <c r="GYZ24" s="37"/>
      <c r="GZA24" s="37"/>
      <c r="GZB24" s="37"/>
      <c r="GZC24" s="37"/>
      <c r="GZD24" s="37"/>
      <c r="GZE24" s="37"/>
      <c r="GZF24" s="37"/>
      <c r="GZG24" s="37"/>
      <c r="GZH24" s="37"/>
      <c r="GZI24" s="37"/>
      <c r="GZJ24" s="37"/>
      <c r="GZK24" s="37"/>
      <c r="GZL24" s="37"/>
      <c r="GZM24" s="37"/>
      <c r="GZN24" s="37"/>
      <c r="GZO24" s="37"/>
      <c r="GZP24" s="37"/>
      <c r="GZQ24" s="37"/>
      <c r="GZR24" s="37"/>
      <c r="GZS24" s="37"/>
      <c r="GZT24" s="37"/>
      <c r="GZU24" s="37"/>
      <c r="GZV24" s="37"/>
      <c r="GZW24" s="37"/>
      <c r="GZX24" s="37"/>
      <c r="GZY24" s="37"/>
      <c r="GZZ24" s="37"/>
      <c r="HAA24" s="37"/>
      <c r="HAB24" s="37"/>
      <c r="HAC24" s="37"/>
      <c r="HAD24" s="37"/>
      <c r="HAE24" s="37"/>
      <c r="HAF24" s="37"/>
      <c r="HAG24" s="37"/>
      <c r="HAH24" s="37"/>
      <c r="HAI24" s="37"/>
      <c r="HAJ24" s="37"/>
      <c r="HAK24" s="37"/>
      <c r="HAL24" s="37"/>
      <c r="HAM24" s="37"/>
      <c r="HAN24" s="37"/>
      <c r="HAO24" s="37"/>
      <c r="HAP24" s="37"/>
      <c r="HAQ24" s="37"/>
      <c r="HAR24" s="37"/>
      <c r="HAS24" s="37"/>
      <c r="HAT24" s="37"/>
      <c r="HAU24" s="37"/>
      <c r="HAV24" s="37"/>
      <c r="HAW24" s="37"/>
      <c r="HAX24" s="37"/>
      <c r="HAY24" s="37"/>
      <c r="HAZ24" s="37"/>
      <c r="HBA24" s="37"/>
      <c r="HBB24" s="37"/>
      <c r="HBC24" s="37"/>
      <c r="HBD24" s="37"/>
      <c r="HBE24" s="37"/>
      <c r="HBF24" s="37"/>
      <c r="HBG24" s="37"/>
      <c r="HBH24" s="37"/>
      <c r="HBI24" s="37"/>
      <c r="HBJ24" s="37"/>
      <c r="HBK24" s="37"/>
      <c r="HBL24" s="37"/>
      <c r="HBM24" s="37"/>
      <c r="HBN24" s="37"/>
      <c r="HBO24" s="37"/>
      <c r="HBP24" s="37"/>
      <c r="HBQ24" s="37"/>
      <c r="HBR24" s="37"/>
      <c r="HBS24" s="37"/>
      <c r="HBT24" s="37"/>
      <c r="HBU24" s="37"/>
      <c r="HBV24" s="37"/>
      <c r="HBW24" s="37"/>
      <c r="HBX24" s="37"/>
      <c r="HBY24" s="37"/>
      <c r="HBZ24" s="37"/>
      <c r="HCA24" s="37"/>
      <c r="HCB24" s="37"/>
      <c r="HCC24" s="37"/>
      <c r="HCD24" s="37"/>
      <c r="HCE24" s="37"/>
      <c r="HCF24" s="37"/>
      <c r="HCG24" s="37"/>
      <c r="HCH24" s="37"/>
      <c r="HCI24" s="37"/>
      <c r="HCJ24" s="37"/>
      <c r="HCK24" s="37"/>
      <c r="HCL24" s="37"/>
      <c r="HCM24" s="37"/>
      <c r="HCN24" s="37"/>
      <c r="HCO24" s="37"/>
      <c r="HCP24" s="37"/>
      <c r="HCQ24" s="37"/>
      <c r="HCR24" s="37"/>
      <c r="HCS24" s="37"/>
      <c r="HCT24" s="37"/>
      <c r="HCU24" s="37"/>
      <c r="HCV24" s="37"/>
      <c r="HCW24" s="37"/>
      <c r="HCX24" s="37"/>
      <c r="HCY24" s="37"/>
      <c r="HCZ24" s="37"/>
      <c r="HDA24" s="37"/>
      <c r="HDB24" s="37"/>
      <c r="HDC24" s="37"/>
      <c r="HDD24" s="37"/>
      <c r="HDE24" s="37"/>
      <c r="HDF24" s="37"/>
      <c r="HDG24" s="37"/>
      <c r="HDH24" s="37"/>
      <c r="HDI24" s="37"/>
      <c r="HDJ24" s="37"/>
      <c r="HDK24" s="37"/>
      <c r="HDL24" s="37"/>
      <c r="HDM24" s="37"/>
      <c r="HDN24" s="37"/>
      <c r="HDO24" s="37"/>
      <c r="HDP24" s="37"/>
      <c r="HDQ24" s="37"/>
      <c r="HDR24" s="37"/>
      <c r="HDS24" s="37"/>
      <c r="HDT24" s="37"/>
      <c r="HDU24" s="37"/>
      <c r="HDV24" s="37"/>
      <c r="HDW24" s="37"/>
      <c r="HDX24" s="37"/>
      <c r="HDY24" s="37"/>
      <c r="HDZ24" s="37"/>
      <c r="HEA24" s="37"/>
      <c r="HEB24" s="37"/>
      <c r="HEC24" s="37"/>
      <c r="HED24" s="37"/>
      <c r="HEE24" s="37"/>
      <c r="HEF24" s="37"/>
      <c r="HEG24" s="37"/>
      <c r="HEH24" s="37"/>
      <c r="HEI24" s="37"/>
      <c r="HEJ24" s="37"/>
      <c r="HEK24" s="37"/>
      <c r="HEL24" s="37"/>
      <c r="HEM24" s="37"/>
      <c r="HEN24" s="37"/>
      <c r="HEO24" s="37"/>
      <c r="HEP24" s="37"/>
      <c r="HEQ24" s="37"/>
      <c r="HER24" s="37"/>
      <c r="HES24" s="37"/>
      <c r="HET24" s="37"/>
      <c r="HEU24" s="37"/>
      <c r="HEV24" s="37"/>
      <c r="HEW24" s="37"/>
      <c r="HEX24" s="37"/>
      <c r="HEY24" s="37"/>
      <c r="HEZ24" s="37"/>
      <c r="HFA24" s="37"/>
      <c r="HFB24" s="37"/>
      <c r="HFC24" s="37"/>
      <c r="HFD24" s="37"/>
      <c r="HFE24" s="37"/>
      <c r="HFF24" s="37"/>
      <c r="HFG24" s="37"/>
      <c r="HFH24" s="37"/>
      <c r="HFI24" s="37"/>
      <c r="HFJ24" s="37"/>
      <c r="HFK24" s="37"/>
      <c r="HFL24" s="37"/>
      <c r="HFM24" s="37"/>
      <c r="HFN24" s="37"/>
      <c r="HFO24" s="37"/>
      <c r="HFP24" s="37"/>
      <c r="HFQ24" s="37"/>
      <c r="HFR24" s="37"/>
      <c r="HFS24" s="37"/>
      <c r="HFT24" s="37"/>
      <c r="HFU24" s="37"/>
      <c r="HFV24" s="37"/>
      <c r="HFW24" s="37"/>
      <c r="HFX24" s="37"/>
      <c r="HFY24" s="37"/>
      <c r="HFZ24" s="37"/>
      <c r="HGA24" s="37"/>
      <c r="HGB24" s="37"/>
      <c r="HGC24" s="37"/>
      <c r="HGD24" s="37"/>
      <c r="HGE24" s="37"/>
      <c r="HGF24" s="37"/>
      <c r="HGG24" s="37"/>
      <c r="HGH24" s="37"/>
      <c r="HGI24" s="37"/>
      <c r="HGJ24" s="37"/>
      <c r="HGK24" s="37"/>
      <c r="HGL24" s="37"/>
      <c r="HGM24" s="37"/>
      <c r="HGN24" s="37"/>
      <c r="HGO24" s="37"/>
      <c r="HGP24" s="37"/>
      <c r="HGQ24" s="37"/>
      <c r="HGR24" s="37"/>
      <c r="HGS24" s="37"/>
      <c r="HGT24" s="37"/>
      <c r="HGU24" s="37"/>
      <c r="HGV24" s="37"/>
      <c r="HGW24" s="37"/>
      <c r="HGX24" s="37"/>
      <c r="HGY24" s="37"/>
      <c r="HGZ24" s="37"/>
      <c r="HHA24" s="37"/>
      <c r="HHB24" s="37"/>
      <c r="HHC24" s="37"/>
      <c r="HHD24" s="37"/>
      <c r="HHE24" s="37"/>
      <c r="HHF24" s="37"/>
      <c r="HHG24" s="37"/>
      <c r="HHH24" s="37"/>
      <c r="HHI24" s="37"/>
      <c r="HHJ24" s="37"/>
      <c r="HHK24" s="37"/>
      <c r="HHL24" s="37"/>
      <c r="HHM24" s="37"/>
      <c r="HHN24" s="37"/>
      <c r="HHO24" s="37"/>
      <c r="HHP24" s="37"/>
      <c r="HHQ24" s="37"/>
      <c r="HHR24" s="37"/>
      <c r="HHS24" s="37"/>
      <c r="HHT24" s="37"/>
      <c r="HHU24" s="37"/>
      <c r="HHV24" s="37"/>
      <c r="HHW24" s="37"/>
      <c r="HHX24" s="37"/>
      <c r="HHY24" s="37"/>
      <c r="HHZ24" s="37"/>
      <c r="HIA24" s="37"/>
      <c r="HIB24" s="37"/>
      <c r="HIC24" s="37"/>
      <c r="HID24" s="37"/>
      <c r="HIE24" s="37"/>
      <c r="HIF24" s="37"/>
      <c r="HIG24" s="37"/>
      <c r="HIH24" s="37"/>
      <c r="HII24" s="37"/>
      <c r="HIJ24" s="37"/>
      <c r="HIK24" s="37"/>
      <c r="HIL24" s="37"/>
      <c r="HIM24" s="37"/>
      <c r="HIN24" s="37"/>
      <c r="HIO24" s="37"/>
      <c r="HIP24" s="37"/>
      <c r="HIQ24" s="37"/>
      <c r="HIR24" s="37"/>
      <c r="HIS24" s="37"/>
      <c r="HIT24" s="37"/>
      <c r="HIU24" s="37"/>
      <c r="HIV24" s="37"/>
      <c r="HIW24" s="37"/>
      <c r="HIX24" s="37"/>
      <c r="HIY24" s="37"/>
      <c r="HIZ24" s="37"/>
      <c r="HJA24" s="37"/>
      <c r="HJB24" s="37"/>
      <c r="HJC24" s="37"/>
      <c r="HJD24" s="37"/>
      <c r="HJE24" s="37"/>
      <c r="HJF24" s="37"/>
      <c r="HJG24" s="37"/>
      <c r="HJH24" s="37"/>
      <c r="HJI24" s="37"/>
      <c r="HJJ24" s="37"/>
      <c r="HJK24" s="37"/>
      <c r="HJL24" s="37"/>
      <c r="HJM24" s="37"/>
      <c r="HJN24" s="37"/>
      <c r="HJO24" s="37"/>
      <c r="HJP24" s="37"/>
      <c r="HJQ24" s="37"/>
      <c r="HJR24" s="37"/>
      <c r="HJS24" s="37"/>
      <c r="HJT24" s="37"/>
      <c r="HJU24" s="37"/>
      <c r="HJV24" s="37"/>
      <c r="HJW24" s="37"/>
      <c r="HJX24" s="37"/>
      <c r="HJY24" s="37"/>
      <c r="HJZ24" s="37"/>
      <c r="HKA24" s="37"/>
      <c r="HKB24" s="37"/>
      <c r="HKC24" s="37"/>
      <c r="HKD24" s="37"/>
      <c r="HKE24" s="37"/>
      <c r="HKF24" s="37"/>
      <c r="HKG24" s="37"/>
      <c r="HKH24" s="37"/>
      <c r="HKI24" s="37"/>
      <c r="HKJ24" s="37"/>
      <c r="HKK24" s="37"/>
      <c r="HKL24" s="37"/>
      <c r="HKM24" s="37"/>
      <c r="HKN24" s="37"/>
      <c r="HKO24" s="37"/>
      <c r="HKP24" s="37"/>
      <c r="HKQ24" s="37"/>
      <c r="HKR24" s="37"/>
      <c r="HKS24" s="37"/>
      <c r="HKT24" s="37"/>
      <c r="HKU24" s="37"/>
      <c r="HKV24" s="37"/>
      <c r="HKW24" s="37"/>
      <c r="HKX24" s="37"/>
      <c r="HKY24" s="37"/>
      <c r="HKZ24" s="37"/>
      <c r="HLA24" s="37"/>
      <c r="HLB24" s="37"/>
      <c r="HLC24" s="37"/>
      <c r="HLD24" s="37"/>
      <c r="HLE24" s="37"/>
      <c r="HLF24" s="37"/>
      <c r="HLG24" s="37"/>
      <c r="HLH24" s="37"/>
      <c r="HLI24" s="37"/>
      <c r="HLJ24" s="37"/>
      <c r="HLK24" s="37"/>
      <c r="HLL24" s="37"/>
      <c r="HLM24" s="37"/>
      <c r="HLN24" s="37"/>
      <c r="HLO24" s="37"/>
      <c r="HLP24" s="37"/>
      <c r="HLQ24" s="37"/>
      <c r="HLR24" s="37"/>
      <c r="HLS24" s="37"/>
      <c r="HLT24" s="37"/>
      <c r="HLU24" s="37"/>
      <c r="HLV24" s="37"/>
      <c r="HLW24" s="37"/>
      <c r="HLX24" s="37"/>
      <c r="HLY24" s="37"/>
      <c r="HLZ24" s="37"/>
      <c r="HMA24" s="37"/>
      <c r="HMB24" s="37"/>
      <c r="HMC24" s="37"/>
      <c r="HMD24" s="37"/>
      <c r="HME24" s="37"/>
      <c r="HMF24" s="37"/>
      <c r="HMG24" s="37"/>
      <c r="HMH24" s="37"/>
      <c r="HMI24" s="37"/>
      <c r="HMJ24" s="37"/>
      <c r="HMK24" s="37"/>
      <c r="HML24" s="37"/>
      <c r="HMM24" s="37"/>
      <c r="HMN24" s="37"/>
      <c r="HMO24" s="37"/>
      <c r="HMP24" s="37"/>
      <c r="HMQ24" s="37"/>
      <c r="HMR24" s="37"/>
      <c r="HMS24" s="37"/>
      <c r="HMT24" s="37"/>
      <c r="HMU24" s="37"/>
      <c r="HMV24" s="37"/>
      <c r="HMW24" s="37"/>
      <c r="HMX24" s="37"/>
      <c r="HMY24" s="37"/>
      <c r="HMZ24" s="37"/>
      <c r="HNA24" s="37"/>
      <c r="HNB24" s="37"/>
      <c r="HNC24" s="37"/>
      <c r="HND24" s="37"/>
      <c r="HNE24" s="37"/>
      <c r="HNF24" s="37"/>
      <c r="HNG24" s="37"/>
      <c r="HNH24" s="37"/>
      <c r="HNI24" s="37"/>
      <c r="HNJ24" s="37"/>
      <c r="HNK24" s="37"/>
      <c r="HNL24" s="37"/>
      <c r="HNM24" s="37"/>
      <c r="HNN24" s="37"/>
      <c r="HNO24" s="37"/>
      <c r="HNP24" s="37"/>
      <c r="HNQ24" s="37"/>
      <c r="HNR24" s="37"/>
      <c r="HNS24" s="37"/>
      <c r="HNT24" s="37"/>
      <c r="HNU24" s="37"/>
      <c r="HNV24" s="37"/>
      <c r="HNW24" s="37"/>
      <c r="HNX24" s="37"/>
      <c r="HNY24" s="37"/>
      <c r="HNZ24" s="37"/>
      <c r="HOA24" s="37"/>
      <c r="HOB24" s="37"/>
      <c r="HOC24" s="37"/>
      <c r="HOD24" s="37"/>
      <c r="HOE24" s="37"/>
      <c r="HOF24" s="37"/>
      <c r="HOG24" s="37"/>
      <c r="HOH24" s="37"/>
      <c r="HOI24" s="37"/>
      <c r="HOJ24" s="37"/>
      <c r="HOK24" s="37"/>
      <c r="HOL24" s="37"/>
      <c r="HOM24" s="37"/>
      <c r="HON24" s="37"/>
      <c r="HOO24" s="37"/>
      <c r="HOP24" s="37"/>
      <c r="HOQ24" s="37"/>
      <c r="HOR24" s="37"/>
      <c r="HOS24" s="37"/>
      <c r="HOT24" s="37"/>
      <c r="HOU24" s="37"/>
      <c r="HOV24" s="37"/>
      <c r="HOW24" s="37"/>
      <c r="HOX24" s="37"/>
      <c r="HOY24" s="37"/>
      <c r="HOZ24" s="37"/>
      <c r="HPA24" s="37"/>
      <c r="HPB24" s="37"/>
      <c r="HPC24" s="37"/>
      <c r="HPD24" s="37"/>
      <c r="HPE24" s="37"/>
      <c r="HPF24" s="37"/>
      <c r="HPG24" s="37"/>
      <c r="HPH24" s="37"/>
      <c r="HPI24" s="37"/>
      <c r="HPJ24" s="37"/>
      <c r="HPK24" s="37"/>
      <c r="HPL24" s="37"/>
      <c r="HPM24" s="37"/>
      <c r="HPN24" s="37"/>
      <c r="HPO24" s="37"/>
      <c r="HPP24" s="37"/>
      <c r="HPQ24" s="37"/>
      <c r="HPR24" s="37"/>
      <c r="HPS24" s="37"/>
      <c r="HPT24" s="37"/>
      <c r="HPU24" s="37"/>
      <c r="HPV24" s="37"/>
      <c r="HPW24" s="37"/>
      <c r="HPX24" s="37"/>
      <c r="HPY24" s="37"/>
      <c r="HPZ24" s="37"/>
      <c r="HQA24" s="37"/>
      <c r="HQB24" s="37"/>
      <c r="HQC24" s="37"/>
      <c r="HQD24" s="37"/>
      <c r="HQE24" s="37"/>
      <c r="HQF24" s="37"/>
      <c r="HQG24" s="37"/>
      <c r="HQH24" s="37"/>
      <c r="HQI24" s="37"/>
      <c r="HQJ24" s="37"/>
      <c r="HQK24" s="37"/>
      <c r="HQL24" s="37"/>
      <c r="HQM24" s="37"/>
      <c r="HQN24" s="37"/>
      <c r="HQO24" s="37"/>
      <c r="HQP24" s="37"/>
      <c r="HQQ24" s="37"/>
      <c r="HQR24" s="37"/>
      <c r="HQS24" s="37"/>
      <c r="HQT24" s="37"/>
      <c r="HQU24" s="37"/>
      <c r="HQV24" s="37"/>
      <c r="HQW24" s="37"/>
      <c r="HQX24" s="37"/>
      <c r="HQY24" s="37"/>
      <c r="HQZ24" s="37"/>
      <c r="HRA24" s="37"/>
      <c r="HRB24" s="37"/>
      <c r="HRC24" s="37"/>
      <c r="HRD24" s="37"/>
      <c r="HRE24" s="37"/>
      <c r="HRF24" s="37"/>
      <c r="HRG24" s="37"/>
      <c r="HRH24" s="37"/>
      <c r="HRI24" s="37"/>
      <c r="HRJ24" s="37"/>
      <c r="HRK24" s="37"/>
      <c r="HRL24" s="37"/>
      <c r="HRM24" s="37"/>
      <c r="HRN24" s="37"/>
      <c r="HRO24" s="37"/>
      <c r="HRP24" s="37"/>
      <c r="HRQ24" s="37"/>
      <c r="HRR24" s="37"/>
      <c r="HRS24" s="37"/>
      <c r="HRT24" s="37"/>
      <c r="HRU24" s="37"/>
      <c r="HRV24" s="37"/>
      <c r="HRW24" s="37"/>
      <c r="HRX24" s="37"/>
      <c r="HRY24" s="37"/>
      <c r="HRZ24" s="37"/>
      <c r="HSA24" s="37"/>
      <c r="HSB24" s="37"/>
      <c r="HSC24" s="37"/>
      <c r="HSD24" s="37"/>
      <c r="HSE24" s="37"/>
      <c r="HSF24" s="37"/>
      <c r="HSG24" s="37"/>
      <c r="HSH24" s="37"/>
      <c r="HSI24" s="37"/>
      <c r="HSJ24" s="37"/>
      <c r="HSK24" s="37"/>
      <c r="HSL24" s="37"/>
      <c r="HSM24" s="37"/>
      <c r="HSN24" s="37"/>
      <c r="HSO24" s="37"/>
      <c r="HSP24" s="37"/>
      <c r="HSQ24" s="37"/>
      <c r="HSR24" s="37"/>
      <c r="HSS24" s="37"/>
      <c r="HST24" s="37"/>
      <c r="HSU24" s="37"/>
      <c r="HSV24" s="37"/>
      <c r="HSW24" s="37"/>
      <c r="HSX24" s="37"/>
      <c r="HSY24" s="37"/>
      <c r="HSZ24" s="37"/>
      <c r="HTA24" s="37"/>
      <c r="HTB24" s="37"/>
      <c r="HTC24" s="37"/>
      <c r="HTD24" s="37"/>
      <c r="HTE24" s="37"/>
      <c r="HTF24" s="37"/>
      <c r="HTG24" s="37"/>
      <c r="HTH24" s="37"/>
      <c r="HTI24" s="37"/>
      <c r="HTJ24" s="37"/>
      <c r="HTK24" s="37"/>
      <c r="HTL24" s="37"/>
      <c r="HTM24" s="37"/>
      <c r="HTN24" s="37"/>
      <c r="HTO24" s="37"/>
      <c r="HTP24" s="37"/>
      <c r="HTQ24" s="37"/>
      <c r="HTR24" s="37"/>
      <c r="HTS24" s="37"/>
      <c r="HTT24" s="37"/>
      <c r="HTU24" s="37"/>
      <c r="HTV24" s="37"/>
      <c r="HTW24" s="37"/>
      <c r="HTX24" s="37"/>
      <c r="HTY24" s="37"/>
      <c r="HTZ24" s="37"/>
      <c r="HUA24" s="37"/>
      <c r="HUB24" s="37"/>
      <c r="HUC24" s="37"/>
      <c r="HUD24" s="37"/>
      <c r="HUE24" s="37"/>
      <c r="HUF24" s="37"/>
      <c r="HUG24" s="37"/>
      <c r="HUH24" s="37"/>
      <c r="HUI24" s="37"/>
      <c r="HUJ24" s="37"/>
      <c r="HUK24" s="37"/>
      <c r="HUL24" s="37"/>
      <c r="HUM24" s="37"/>
      <c r="HUN24" s="37"/>
      <c r="HUO24" s="37"/>
      <c r="HUP24" s="37"/>
      <c r="HUQ24" s="37"/>
      <c r="HUR24" s="37"/>
      <c r="HUS24" s="37"/>
      <c r="HUT24" s="37"/>
      <c r="HUU24" s="37"/>
      <c r="HUV24" s="37"/>
      <c r="HUW24" s="37"/>
      <c r="HUX24" s="37"/>
      <c r="HUY24" s="37"/>
      <c r="HUZ24" s="37"/>
      <c r="HVA24" s="37"/>
      <c r="HVB24" s="37"/>
      <c r="HVC24" s="37"/>
      <c r="HVD24" s="37"/>
      <c r="HVE24" s="37"/>
      <c r="HVF24" s="37"/>
      <c r="HVG24" s="37"/>
      <c r="HVH24" s="37"/>
      <c r="HVI24" s="37"/>
      <c r="HVJ24" s="37"/>
      <c r="HVK24" s="37"/>
      <c r="HVL24" s="37"/>
      <c r="HVM24" s="37"/>
      <c r="HVN24" s="37"/>
      <c r="HVO24" s="37"/>
      <c r="HVP24" s="37"/>
      <c r="HVQ24" s="37"/>
      <c r="HVR24" s="37"/>
      <c r="HVS24" s="37"/>
      <c r="HVT24" s="37"/>
      <c r="HVU24" s="37"/>
      <c r="HVV24" s="37"/>
      <c r="HVW24" s="37"/>
      <c r="HVX24" s="37"/>
      <c r="HVY24" s="37"/>
      <c r="HVZ24" s="37"/>
      <c r="HWA24" s="37"/>
      <c r="HWB24" s="37"/>
      <c r="HWC24" s="37"/>
      <c r="HWD24" s="37"/>
      <c r="HWE24" s="37"/>
      <c r="HWF24" s="37"/>
      <c r="HWG24" s="37"/>
      <c r="HWH24" s="37"/>
      <c r="HWI24" s="37"/>
      <c r="HWJ24" s="37"/>
      <c r="HWK24" s="37"/>
      <c r="HWL24" s="37"/>
      <c r="HWM24" s="37"/>
      <c r="HWN24" s="37"/>
      <c r="HWO24" s="37"/>
      <c r="HWP24" s="37"/>
      <c r="HWQ24" s="37"/>
      <c r="HWR24" s="37"/>
      <c r="HWS24" s="37"/>
      <c r="HWT24" s="37"/>
      <c r="HWU24" s="37"/>
      <c r="HWV24" s="37"/>
      <c r="HWW24" s="37"/>
      <c r="HWX24" s="37"/>
      <c r="HWY24" s="37"/>
      <c r="HWZ24" s="37"/>
      <c r="HXA24" s="37"/>
      <c r="HXB24" s="37"/>
      <c r="HXC24" s="37"/>
      <c r="HXD24" s="37"/>
      <c r="HXE24" s="37"/>
      <c r="HXF24" s="37"/>
      <c r="HXG24" s="37"/>
      <c r="HXH24" s="37"/>
      <c r="HXI24" s="37"/>
      <c r="HXJ24" s="37"/>
      <c r="HXK24" s="37"/>
      <c r="HXL24" s="37"/>
      <c r="HXM24" s="37"/>
      <c r="HXN24" s="37"/>
      <c r="HXO24" s="37"/>
      <c r="HXP24" s="37"/>
      <c r="HXQ24" s="37"/>
      <c r="HXR24" s="37"/>
      <c r="HXS24" s="37"/>
      <c r="HXT24" s="37"/>
      <c r="HXU24" s="37"/>
      <c r="HXV24" s="37"/>
      <c r="HXW24" s="37"/>
      <c r="HXX24" s="37"/>
      <c r="HXY24" s="37"/>
      <c r="HXZ24" s="37"/>
      <c r="HYA24" s="37"/>
      <c r="HYB24" s="37"/>
      <c r="HYC24" s="37"/>
      <c r="HYD24" s="37"/>
      <c r="HYE24" s="37"/>
      <c r="HYF24" s="37"/>
      <c r="HYG24" s="37"/>
      <c r="HYH24" s="37"/>
      <c r="HYI24" s="37"/>
      <c r="HYJ24" s="37"/>
      <c r="HYK24" s="37"/>
      <c r="HYL24" s="37"/>
      <c r="HYM24" s="37"/>
      <c r="HYN24" s="37"/>
      <c r="HYO24" s="37"/>
      <c r="HYP24" s="37"/>
      <c r="HYQ24" s="37"/>
      <c r="HYR24" s="37"/>
      <c r="HYS24" s="37"/>
      <c r="HYT24" s="37"/>
      <c r="HYU24" s="37"/>
      <c r="HYV24" s="37"/>
      <c r="HYW24" s="37"/>
      <c r="HYX24" s="37"/>
      <c r="HYY24" s="37"/>
      <c r="HYZ24" s="37"/>
      <c r="HZA24" s="37"/>
      <c r="HZB24" s="37"/>
      <c r="HZC24" s="37"/>
      <c r="HZD24" s="37"/>
      <c r="HZE24" s="37"/>
      <c r="HZF24" s="37"/>
      <c r="HZG24" s="37"/>
      <c r="HZH24" s="37"/>
      <c r="HZI24" s="37"/>
      <c r="HZJ24" s="37"/>
      <c r="HZK24" s="37"/>
      <c r="HZL24" s="37"/>
      <c r="HZM24" s="37"/>
      <c r="HZN24" s="37"/>
      <c r="HZO24" s="37"/>
      <c r="HZP24" s="37"/>
      <c r="HZQ24" s="37"/>
      <c r="HZR24" s="37"/>
      <c r="HZS24" s="37"/>
      <c r="HZT24" s="37"/>
      <c r="HZU24" s="37"/>
      <c r="HZV24" s="37"/>
      <c r="HZW24" s="37"/>
      <c r="HZX24" s="37"/>
      <c r="HZY24" s="37"/>
      <c r="HZZ24" s="37"/>
      <c r="IAA24" s="37"/>
      <c r="IAB24" s="37"/>
      <c r="IAC24" s="37"/>
      <c r="IAD24" s="37"/>
      <c r="IAE24" s="37"/>
      <c r="IAF24" s="37"/>
      <c r="IAG24" s="37"/>
      <c r="IAH24" s="37"/>
      <c r="IAI24" s="37"/>
      <c r="IAJ24" s="37"/>
      <c r="IAK24" s="37"/>
      <c r="IAL24" s="37"/>
      <c r="IAM24" s="37"/>
      <c r="IAN24" s="37"/>
      <c r="IAO24" s="37"/>
      <c r="IAP24" s="37"/>
      <c r="IAQ24" s="37"/>
      <c r="IAR24" s="37"/>
      <c r="IAS24" s="37"/>
      <c r="IAT24" s="37"/>
      <c r="IAU24" s="37"/>
      <c r="IAV24" s="37"/>
      <c r="IAW24" s="37"/>
      <c r="IAX24" s="37"/>
      <c r="IAY24" s="37"/>
      <c r="IAZ24" s="37"/>
      <c r="IBA24" s="37"/>
      <c r="IBB24" s="37"/>
      <c r="IBC24" s="37"/>
      <c r="IBD24" s="37"/>
      <c r="IBE24" s="37"/>
      <c r="IBF24" s="37"/>
      <c r="IBG24" s="37"/>
      <c r="IBH24" s="37"/>
      <c r="IBI24" s="37"/>
      <c r="IBJ24" s="37"/>
      <c r="IBK24" s="37"/>
      <c r="IBL24" s="37"/>
      <c r="IBM24" s="37"/>
      <c r="IBN24" s="37"/>
      <c r="IBO24" s="37"/>
      <c r="IBP24" s="37"/>
      <c r="IBQ24" s="37"/>
      <c r="IBR24" s="37"/>
      <c r="IBS24" s="37"/>
      <c r="IBT24" s="37"/>
      <c r="IBU24" s="37"/>
      <c r="IBV24" s="37"/>
      <c r="IBW24" s="37"/>
      <c r="IBX24" s="37"/>
      <c r="IBY24" s="37"/>
      <c r="IBZ24" s="37"/>
      <c r="ICA24" s="37"/>
      <c r="ICB24" s="37"/>
      <c r="ICC24" s="37"/>
      <c r="ICD24" s="37"/>
      <c r="ICE24" s="37"/>
      <c r="ICF24" s="37"/>
      <c r="ICG24" s="37"/>
      <c r="ICH24" s="37"/>
      <c r="ICI24" s="37"/>
      <c r="ICJ24" s="37"/>
      <c r="ICK24" s="37"/>
      <c r="ICL24" s="37"/>
      <c r="ICM24" s="37"/>
      <c r="ICN24" s="37"/>
      <c r="ICO24" s="37"/>
      <c r="ICP24" s="37"/>
      <c r="ICQ24" s="37"/>
      <c r="ICR24" s="37"/>
      <c r="ICS24" s="37"/>
      <c r="ICT24" s="37"/>
      <c r="ICU24" s="37"/>
      <c r="ICV24" s="37"/>
      <c r="ICW24" s="37"/>
      <c r="ICX24" s="37"/>
      <c r="ICY24" s="37"/>
      <c r="ICZ24" s="37"/>
      <c r="IDA24" s="37"/>
      <c r="IDB24" s="37"/>
      <c r="IDC24" s="37"/>
      <c r="IDD24" s="37"/>
      <c r="IDE24" s="37"/>
      <c r="IDF24" s="37"/>
      <c r="IDG24" s="37"/>
      <c r="IDH24" s="37"/>
      <c r="IDI24" s="37"/>
      <c r="IDJ24" s="37"/>
      <c r="IDK24" s="37"/>
      <c r="IDL24" s="37"/>
      <c r="IDM24" s="37"/>
      <c r="IDN24" s="37"/>
      <c r="IDO24" s="37"/>
      <c r="IDP24" s="37"/>
      <c r="IDQ24" s="37"/>
      <c r="IDR24" s="37"/>
      <c r="IDS24" s="37"/>
      <c r="IDT24" s="37"/>
      <c r="IDU24" s="37"/>
      <c r="IDV24" s="37"/>
      <c r="IDW24" s="37"/>
      <c r="IDX24" s="37"/>
      <c r="IDY24" s="37"/>
      <c r="IDZ24" s="37"/>
      <c r="IEA24" s="37"/>
      <c r="IEB24" s="37"/>
      <c r="IEC24" s="37"/>
      <c r="IED24" s="37"/>
      <c r="IEE24" s="37"/>
      <c r="IEF24" s="37"/>
      <c r="IEG24" s="37"/>
      <c r="IEH24" s="37"/>
      <c r="IEI24" s="37"/>
      <c r="IEJ24" s="37"/>
      <c r="IEK24" s="37"/>
      <c r="IEL24" s="37"/>
      <c r="IEM24" s="37"/>
      <c r="IEN24" s="37"/>
      <c r="IEO24" s="37"/>
      <c r="IEP24" s="37"/>
      <c r="IEQ24" s="37"/>
      <c r="IER24" s="37"/>
      <c r="IES24" s="37"/>
      <c r="IET24" s="37"/>
      <c r="IEU24" s="37"/>
      <c r="IEV24" s="37"/>
      <c r="IEW24" s="37"/>
      <c r="IEX24" s="37"/>
      <c r="IEY24" s="37"/>
      <c r="IEZ24" s="37"/>
      <c r="IFA24" s="37"/>
      <c r="IFB24" s="37"/>
      <c r="IFC24" s="37"/>
      <c r="IFD24" s="37"/>
      <c r="IFE24" s="37"/>
      <c r="IFF24" s="37"/>
      <c r="IFG24" s="37"/>
      <c r="IFH24" s="37"/>
      <c r="IFI24" s="37"/>
      <c r="IFJ24" s="37"/>
      <c r="IFK24" s="37"/>
      <c r="IFL24" s="37"/>
      <c r="IFM24" s="37"/>
      <c r="IFN24" s="37"/>
      <c r="IFO24" s="37"/>
      <c r="IFP24" s="37"/>
      <c r="IFQ24" s="37"/>
      <c r="IFR24" s="37"/>
      <c r="IFS24" s="37"/>
      <c r="IFT24" s="37"/>
      <c r="IFU24" s="37"/>
      <c r="IFV24" s="37"/>
      <c r="IFW24" s="37"/>
      <c r="IFX24" s="37"/>
      <c r="IFY24" s="37"/>
      <c r="IFZ24" s="37"/>
      <c r="IGA24" s="37"/>
      <c r="IGB24" s="37"/>
      <c r="IGC24" s="37"/>
      <c r="IGD24" s="37"/>
      <c r="IGE24" s="37"/>
      <c r="IGF24" s="37"/>
      <c r="IGG24" s="37"/>
      <c r="IGH24" s="37"/>
      <c r="IGI24" s="37"/>
      <c r="IGJ24" s="37"/>
      <c r="IGK24" s="37"/>
      <c r="IGL24" s="37"/>
      <c r="IGM24" s="37"/>
      <c r="IGN24" s="37"/>
      <c r="IGO24" s="37"/>
      <c r="IGP24" s="37"/>
      <c r="IGQ24" s="37"/>
      <c r="IGR24" s="37"/>
      <c r="IGS24" s="37"/>
      <c r="IGT24" s="37"/>
      <c r="IGU24" s="37"/>
      <c r="IGV24" s="37"/>
      <c r="IGW24" s="37"/>
      <c r="IGX24" s="37"/>
      <c r="IGY24" s="37"/>
      <c r="IGZ24" s="37"/>
      <c r="IHA24" s="37"/>
      <c r="IHB24" s="37"/>
      <c r="IHC24" s="37"/>
      <c r="IHD24" s="37"/>
      <c r="IHE24" s="37"/>
      <c r="IHF24" s="37"/>
      <c r="IHG24" s="37"/>
      <c r="IHH24" s="37"/>
      <c r="IHI24" s="37"/>
      <c r="IHJ24" s="37"/>
      <c r="IHK24" s="37"/>
      <c r="IHL24" s="37"/>
      <c r="IHM24" s="37"/>
      <c r="IHN24" s="37"/>
      <c r="IHO24" s="37"/>
      <c r="IHP24" s="37"/>
      <c r="IHQ24" s="37"/>
      <c r="IHR24" s="37"/>
      <c r="IHS24" s="37"/>
      <c r="IHT24" s="37"/>
      <c r="IHU24" s="37"/>
      <c r="IHV24" s="37"/>
      <c r="IHW24" s="37"/>
      <c r="IHX24" s="37"/>
      <c r="IHY24" s="37"/>
      <c r="IHZ24" s="37"/>
      <c r="IIA24" s="37"/>
      <c r="IIB24" s="37"/>
      <c r="IIC24" s="37"/>
      <c r="IID24" s="37"/>
      <c r="IIE24" s="37"/>
      <c r="IIF24" s="37"/>
      <c r="IIG24" s="37"/>
      <c r="IIH24" s="37"/>
      <c r="III24" s="37"/>
      <c r="IIJ24" s="37"/>
      <c r="IIK24" s="37"/>
      <c r="IIL24" s="37"/>
      <c r="IIM24" s="37"/>
      <c r="IIN24" s="37"/>
      <c r="IIO24" s="37"/>
      <c r="IIP24" s="37"/>
      <c r="IIQ24" s="37"/>
      <c r="IIR24" s="37"/>
      <c r="IIS24" s="37"/>
      <c r="IIT24" s="37"/>
      <c r="IIU24" s="37"/>
      <c r="IIV24" s="37"/>
      <c r="IIW24" s="37"/>
      <c r="IIX24" s="37"/>
      <c r="IIY24" s="37"/>
      <c r="IIZ24" s="37"/>
      <c r="IJA24" s="37"/>
      <c r="IJB24" s="37"/>
      <c r="IJC24" s="37"/>
      <c r="IJD24" s="37"/>
      <c r="IJE24" s="37"/>
      <c r="IJF24" s="37"/>
      <c r="IJG24" s="37"/>
      <c r="IJH24" s="37"/>
      <c r="IJI24" s="37"/>
      <c r="IJJ24" s="37"/>
      <c r="IJK24" s="37"/>
      <c r="IJL24" s="37"/>
      <c r="IJM24" s="37"/>
      <c r="IJN24" s="37"/>
      <c r="IJO24" s="37"/>
      <c r="IJP24" s="37"/>
      <c r="IJQ24" s="37"/>
      <c r="IJR24" s="37"/>
      <c r="IJS24" s="37"/>
      <c r="IJT24" s="37"/>
      <c r="IJU24" s="37"/>
      <c r="IJV24" s="37"/>
      <c r="IJW24" s="37"/>
      <c r="IJX24" s="37"/>
      <c r="IJY24" s="37"/>
      <c r="IJZ24" s="37"/>
      <c r="IKA24" s="37"/>
      <c r="IKB24" s="37"/>
      <c r="IKC24" s="37"/>
      <c r="IKD24" s="37"/>
      <c r="IKE24" s="37"/>
      <c r="IKF24" s="37"/>
      <c r="IKG24" s="37"/>
      <c r="IKH24" s="37"/>
      <c r="IKI24" s="37"/>
      <c r="IKJ24" s="37"/>
      <c r="IKK24" s="37"/>
      <c r="IKL24" s="37"/>
      <c r="IKM24" s="37"/>
      <c r="IKN24" s="37"/>
      <c r="IKO24" s="37"/>
      <c r="IKP24" s="37"/>
      <c r="IKQ24" s="37"/>
      <c r="IKR24" s="37"/>
      <c r="IKS24" s="37"/>
      <c r="IKT24" s="37"/>
      <c r="IKU24" s="37"/>
      <c r="IKV24" s="37"/>
      <c r="IKW24" s="37"/>
      <c r="IKX24" s="37"/>
      <c r="IKY24" s="37"/>
      <c r="IKZ24" s="37"/>
      <c r="ILA24" s="37"/>
      <c r="ILB24" s="37"/>
      <c r="ILC24" s="37"/>
      <c r="ILD24" s="37"/>
      <c r="ILE24" s="37"/>
      <c r="ILF24" s="37"/>
      <c r="ILG24" s="37"/>
      <c r="ILH24" s="37"/>
      <c r="ILI24" s="37"/>
      <c r="ILJ24" s="37"/>
      <c r="ILK24" s="37"/>
      <c r="ILL24" s="37"/>
      <c r="ILM24" s="37"/>
      <c r="ILN24" s="37"/>
      <c r="ILO24" s="37"/>
      <c r="ILP24" s="37"/>
      <c r="ILQ24" s="37"/>
      <c r="ILR24" s="37"/>
      <c r="ILS24" s="37"/>
      <c r="ILT24" s="37"/>
      <c r="ILU24" s="37"/>
      <c r="ILV24" s="37"/>
      <c r="ILW24" s="37"/>
      <c r="ILX24" s="37"/>
      <c r="ILY24" s="37"/>
      <c r="ILZ24" s="37"/>
      <c r="IMA24" s="37"/>
      <c r="IMB24" s="37"/>
      <c r="IMC24" s="37"/>
      <c r="IMD24" s="37"/>
      <c r="IME24" s="37"/>
      <c r="IMF24" s="37"/>
      <c r="IMG24" s="37"/>
      <c r="IMH24" s="37"/>
      <c r="IMI24" s="37"/>
      <c r="IMJ24" s="37"/>
      <c r="IMK24" s="37"/>
      <c r="IML24" s="37"/>
      <c r="IMM24" s="37"/>
      <c r="IMN24" s="37"/>
      <c r="IMO24" s="37"/>
      <c r="IMP24" s="37"/>
      <c r="IMQ24" s="37"/>
      <c r="IMR24" s="37"/>
      <c r="IMS24" s="37"/>
      <c r="IMT24" s="37"/>
      <c r="IMU24" s="37"/>
      <c r="IMV24" s="37"/>
      <c r="IMW24" s="37"/>
      <c r="IMX24" s="37"/>
      <c r="IMY24" s="37"/>
      <c r="IMZ24" s="37"/>
      <c r="INA24" s="37"/>
      <c r="INB24" s="37"/>
      <c r="INC24" s="37"/>
      <c r="IND24" s="37"/>
      <c r="INE24" s="37"/>
      <c r="INF24" s="37"/>
      <c r="ING24" s="37"/>
      <c r="INH24" s="37"/>
      <c r="INI24" s="37"/>
      <c r="INJ24" s="37"/>
      <c r="INK24" s="37"/>
      <c r="INL24" s="37"/>
      <c r="INM24" s="37"/>
      <c r="INN24" s="37"/>
      <c r="INO24" s="37"/>
      <c r="INP24" s="37"/>
      <c r="INQ24" s="37"/>
      <c r="INR24" s="37"/>
      <c r="INS24" s="37"/>
      <c r="INT24" s="37"/>
      <c r="INU24" s="37"/>
      <c r="INV24" s="37"/>
      <c r="INW24" s="37"/>
      <c r="INX24" s="37"/>
      <c r="INY24" s="37"/>
      <c r="INZ24" s="37"/>
      <c r="IOA24" s="37"/>
      <c r="IOB24" s="37"/>
      <c r="IOC24" s="37"/>
      <c r="IOD24" s="37"/>
      <c r="IOE24" s="37"/>
      <c r="IOF24" s="37"/>
      <c r="IOG24" s="37"/>
      <c r="IOH24" s="37"/>
      <c r="IOI24" s="37"/>
      <c r="IOJ24" s="37"/>
      <c r="IOK24" s="37"/>
      <c r="IOL24" s="37"/>
      <c r="IOM24" s="37"/>
      <c r="ION24" s="37"/>
      <c r="IOO24" s="37"/>
      <c r="IOP24" s="37"/>
      <c r="IOQ24" s="37"/>
      <c r="IOR24" s="37"/>
      <c r="IOS24" s="37"/>
      <c r="IOT24" s="37"/>
      <c r="IOU24" s="37"/>
      <c r="IOV24" s="37"/>
      <c r="IOW24" s="37"/>
      <c r="IOX24" s="37"/>
      <c r="IOY24" s="37"/>
      <c r="IOZ24" s="37"/>
      <c r="IPA24" s="37"/>
      <c r="IPB24" s="37"/>
      <c r="IPC24" s="37"/>
      <c r="IPD24" s="37"/>
      <c r="IPE24" s="37"/>
      <c r="IPF24" s="37"/>
      <c r="IPG24" s="37"/>
      <c r="IPH24" s="37"/>
      <c r="IPI24" s="37"/>
      <c r="IPJ24" s="37"/>
      <c r="IPK24" s="37"/>
      <c r="IPL24" s="37"/>
      <c r="IPM24" s="37"/>
      <c r="IPN24" s="37"/>
      <c r="IPO24" s="37"/>
      <c r="IPP24" s="37"/>
      <c r="IPQ24" s="37"/>
      <c r="IPR24" s="37"/>
      <c r="IPS24" s="37"/>
      <c r="IPT24" s="37"/>
      <c r="IPU24" s="37"/>
      <c r="IPV24" s="37"/>
      <c r="IPW24" s="37"/>
      <c r="IPX24" s="37"/>
      <c r="IPY24" s="37"/>
      <c r="IPZ24" s="37"/>
      <c r="IQA24" s="37"/>
      <c r="IQB24" s="37"/>
      <c r="IQC24" s="37"/>
      <c r="IQD24" s="37"/>
      <c r="IQE24" s="37"/>
      <c r="IQF24" s="37"/>
      <c r="IQG24" s="37"/>
      <c r="IQH24" s="37"/>
      <c r="IQI24" s="37"/>
      <c r="IQJ24" s="37"/>
      <c r="IQK24" s="37"/>
      <c r="IQL24" s="37"/>
      <c r="IQM24" s="37"/>
      <c r="IQN24" s="37"/>
      <c r="IQO24" s="37"/>
      <c r="IQP24" s="37"/>
      <c r="IQQ24" s="37"/>
      <c r="IQR24" s="37"/>
      <c r="IQS24" s="37"/>
      <c r="IQT24" s="37"/>
      <c r="IQU24" s="37"/>
      <c r="IQV24" s="37"/>
      <c r="IQW24" s="37"/>
      <c r="IQX24" s="37"/>
      <c r="IQY24" s="37"/>
      <c r="IQZ24" s="37"/>
      <c r="IRA24" s="37"/>
      <c r="IRB24" s="37"/>
      <c r="IRC24" s="37"/>
      <c r="IRD24" s="37"/>
      <c r="IRE24" s="37"/>
      <c r="IRF24" s="37"/>
      <c r="IRG24" s="37"/>
      <c r="IRH24" s="37"/>
      <c r="IRI24" s="37"/>
      <c r="IRJ24" s="37"/>
      <c r="IRK24" s="37"/>
      <c r="IRL24" s="37"/>
      <c r="IRM24" s="37"/>
      <c r="IRN24" s="37"/>
      <c r="IRO24" s="37"/>
      <c r="IRP24" s="37"/>
      <c r="IRQ24" s="37"/>
      <c r="IRR24" s="37"/>
      <c r="IRS24" s="37"/>
      <c r="IRT24" s="37"/>
      <c r="IRU24" s="37"/>
      <c r="IRV24" s="37"/>
      <c r="IRW24" s="37"/>
      <c r="IRX24" s="37"/>
      <c r="IRY24" s="37"/>
      <c r="IRZ24" s="37"/>
      <c r="ISA24" s="37"/>
      <c r="ISB24" s="37"/>
      <c r="ISC24" s="37"/>
      <c r="ISD24" s="37"/>
      <c r="ISE24" s="37"/>
      <c r="ISF24" s="37"/>
      <c r="ISG24" s="37"/>
      <c r="ISH24" s="37"/>
      <c r="ISI24" s="37"/>
      <c r="ISJ24" s="37"/>
      <c r="ISK24" s="37"/>
      <c r="ISL24" s="37"/>
      <c r="ISM24" s="37"/>
      <c r="ISN24" s="37"/>
      <c r="ISO24" s="37"/>
      <c r="ISP24" s="37"/>
      <c r="ISQ24" s="37"/>
      <c r="ISR24" s="37"/>
      <c r="ISS24" s="37"/>
      <c r="IST24" s="37"/>
      <c r="ISU24" s="37"/>
      <c r="ISV24" s="37"/>
      <c r="ISW24" s="37"/>
      <c r="ISX24" s="37"/>
      <c r="ISY24" s="37"/>
      <c r="ISZ24" s="37"/>
      <c r="ITA24" s="37"/>
      <c r="ITB24" s="37"/>
      <c r="ITC24" s="37"/>
      <c r="ITD24" s="37"/>
      <c r="ITE24" s="37"/>
      <c r="ITF24" s="37"/>
      <c r="ITG24" s="37"/>
      <c r="ITH24" s="37"/>
      <c r="ITI24" s="37"/>
      <c r="ITJ24" s="37"/>
      <c r="ITK24" s="37"/>
      <c r="ITL24" s="37"/>
      <c r="ITM24" s="37"/>
      <c r="ITN24" s="37"/>
      <c r="ITO24" s="37"/>
      <c r="ITP24" s="37"/>
      <c r="ITQ24" s="37"/>
      <c r="ITR24" s="37"/>
      <c r="ITS24" s="37"/>
      <c r="ITT24" s="37"/>
      <c r="ITU24" s="37"/>
      <c r="ITV24" s="37"/>
      <c r="ITW24" s="37"/>
      <c r="ITX24" s="37"/>
      <c r="ITY24" s="37"/>
      <c r="ITZ24" s="37"/>
      <c r="IUA24" s="37"/>
      <c r="IUB24" s="37"/>
      <c r="IUC24" s="37"/>
      <c r="IUD24" s="37"/>
      <c r="IUE24" s="37"/>
      <c r="IUF24" s="37"/>
      <c r="IUG24" s="37"/>
      <c r="IUH24" s="37"/>
      <c r="IUI24" s="37"/>
      <c r="IUJ24" s="37"/>
      <c r="IUK24" s="37"/>
      <c r="IUL24" s="37"/>
      <c r="IUM24" s="37"/>
      <c r="IUN24" s="37"/>
      <c r="IUO24" s="37"/>
      <c r="IUP24" s="37"/>
      <c r="IUQ24" s="37"/>
      <c r="IUR24" s="37"/>
      <c r="IUS24" s="37"/>
      <c r="IUT24" s="37"/>
      <c r="IUU24" s="37"/>
      <c r="IUV24" s="37"/>
      <c r="IUW24" s="37"/>
      <c r="IUX24" s="37"/>
      <c r="IUY24" s="37"/>
      <c r="IUZ24" s="37"/>
      <c r="IVA24" s="37"/>
      <c r="IVB24" s="37"/>
      <c r="IVC24" s="37"/>
      <c r="IVD24" s="37"/>
      <c r="IVE24" s="37"/>
      <c r="IVF24" s="37"/>
      <c r="IVG24" s="37"/>
      <c r="IVH24" s="37"/>
      <c r="IVI24" s="37"/>
      <c r="IVJ24" s="37"/>
      <c r="IVK24" s="37"/>
      <c r="IVL24" s="37"/>
      <c r="IVM24" s="37"/>
      <c r="IVN24" s="37"/>
      <c r="IVO24" s="37"/>
      <c r="IVP24" s="37"/>
      <c r="IVQ24" s="37"/>
      <c r="IVR24" s="37"/>
      <c r="IVS24" s="37"/>
      <c r="IVT24" s="37"/>
      <c r="IVU24" s="37"/>
      <c r="IVV24" s="37"/>
      <c r="IVW24" s="37"/>
      <c r="IVX24" s="37"/>
      <c r="IVY24" s="37"/>
      <c r="IVZ24" s="37"/>
      <c r="IWA24" s="37"/>
      <c r="IWB24" s="37"/>
      <c r="IWC24" s="37"/>
      <c r="IWD24" s="37"/>
      <c r="IWE24" s="37"/>
      <c r="IWF24" s="37"/>
      <c r="IWG24" s="37"/>
      <c r="IWH24" s="37"/>
      <c r="IWI24" s="37"/>
      <c r="IWJ24" s="37"/>
      <c r="IWK24" s="37"/>
      <c r="IWL24" s="37"/>
      <c r="IWM24" s="37"/>
      <c r="IWN24" s="37"/>
      <c r="IWO24" s="37"/>
      <c r="IWP24" s="37"/>
      <c r="IWQ24" s="37"/>
      <c r="IWR24" s="37"/>
      <c r="IWS24" s="37"/>
      <c r="IWT24" s="37"/>
      <c r="IWU24" s="37"/>
      <c r="IWV24" s="37"/>
      <c r="IWW24" s="37"/>
      <c r="IWX24" s="37"/>
      <c r="IWY24" s="37"/>
      <c r="IWZ24" s="37"/>
      <c r="IXA24" s="37"/>
      <c r="IXB24" s="37"/>
      <c r="IXC24" s="37"/>
      <c r="IXD24" s="37"/>
      <c r="IXE24" s="37"/>
      <c r="IXF24" s="37"/>
      <c r="IXG24" s="37"/>
      <c r="IXH24" s="37"/>
      <c r="IXI24" s="37"/>
      <c r="IXJ24" s="37"/>
      <c r="IXK24" s="37"/>
      <c r="IXL24" s="37"/>
      <c r="IXM24" s="37"/>
      <c r="IXN24" s="37"/>
      <c r="IXO24" s="37"/>
      <c r="IXP24" s="37"/>
      <c r="IXQ24" s="37"/>
      <c r="IXR24" s="37"/>
      <c r="IXS24" s="37"/>
      <c r="IXT24" s="37"/>
      <c r="IXU24" s="37"/>
      <c r="IXV24" s="37"/>
      <c r="IXW24" s="37"/>
      <c r="IXX24" s="37"/>
      <c r="IXY24" s="37"/>
      <c r="IXZ24" s="37"/>
      <c r="IYA24" s="37"/>
      <c r="IYB24" s="37"/>
      <c r="IYC24" s="37"/>
      <c r="IYD24" s="37"/>
      <c r="IYE24" s="37"/>
      <c r="IYF24" s="37"/>
      <c r="IYG24" s="37"/>
      <c r="IYH24" s="37"/>
      <c r="IYI24" s="37"/>
      <c r="IYJ24" s="37"/>
      <c r="IYK24" s="37"/>
      <c r="IYL24" s="37"/>
      <c r="IYM24" s="37"/>
      <c r="IYN24" s="37"/>
      <c r="IYO24" s="37"/>
      <c r="IYP24" s="37"/>
      <c r="IYQ24" s="37"/>
      <c r="IYR24" s="37"/>
      <c r="IYS24" s="37"/>
      <c r="IYT24" s="37"/>
      <c r="IYU24" s="37"/>
      <c r="IYV24" s="37"/>
      <c r="IYW24" s="37"/>
      <c r="IYX24" s="37"/>
      <c r="IYY24" s="37"/>
      <c r="IYZ24" s="37"/>
      <c r="IZA24" s="37"/>
      <c r="IZB24" s="37"/>
      <c r="IZC24" s="37"/>
      <c r="IZD24" s="37"/>
      <c r="IZE24" s="37"/>
      <c r="IZF24" s="37"/>
      <c r="IZG24" s="37"/>
      <c r="IZH24" s="37"/>
      <c r="IZI24" s="37"/>
      <c r="IZJ24" s="37"/>
      <c r="IZK24" s="37"/>
      <c r="IZL24" s="37"/>
      <c r="IZM24" s="37"/>
      <c r="IZN24" s="37"/>
      <c r="IZO24" s="37"/>
      <c r="IZP24" s="37"/>
      <c r="IZQ24" s="37"/>
      <c r="IZR24" s="37"/>
      <c r="IZS24" s="37"/>
      <c r="IZT24" s="37"/>
      <c r="IZU24" s="37"/>
      <c r="IZV24" s="37"/>
      <c r="IZW24" s="37"/>
      <c r="IZX24" s="37"/>
      <c r="IZY24" s="37"/>
      <c r="IZZ24" s="37"/>
      <c r="JAA24" s="37"/>
      <c r="JAB24" s="37"/>
      <c r="JAC24" s="37"/>
      <c r="JAD24" s="37"/>
      <c r="JAE24" s="37"/>
      <c r="JAF24" s="37"/>
      <c r="JAG24" s="37"/>
      <c r="JAH24" s="37"/>
      <c r="JAI24" s="37"/>
      <c r="JAJ24" s="37"/>
      <c r="JAK24" s="37"/>
      <c r="JAL24" s="37"/>
      <c r="JAM24" s="37"/>
      <c r="JAN24" s="37"/>
      <c r="JAO24" s="37"/>
      <c r="JAP24" s="37"/>
      <c r="JAQ24" s="37"/>
      <c r="JAR24" s="37"/>
      <c r="JAS24" s="37"/>
      <c r="JAT24" s="37"/>
      <c r="JAU24" s="37"/>
      <c r="JAV24" s="37"/>
      <c r="JAW24" s="37"/>
      <c r="JAX24" s="37"/>
      <c r="JAY24" s="37"/>
      <c r="JAZ24" s="37"/>
      <c r="JBA24" s="37"/>
      <c r="JBB24" s="37"/>
      <c r="JBC24" s="37"/>
      <c r="JBD24" s="37"/>
      <c r="JBE24" s="37"/>
      <c r="JBF24" s="37"/>
      <c r="JBG24" s="37"/>
      <c r="JBH24" s="37"/>
      <c r="JBI24" s="37"/>
      <c r="JBJ24" s="37"/>
      <c r="JBK24" s="37"/>
      <c r="JBL24" s="37"/>
      <c r="JBM24" s="37"/>
      <c r="JBN24" s="37"/>
      <c r="JBO24" s="37"/>
      <c r="JBP24" s="37"/>
      <c r="JBQ24" s="37"/>
      <c r="JBR24" s="37"/>
      <c r="JBS24" s="37"/>
      <c r="JBT24" s="37"/>
      <c r="JBU24" s="37"/>
      <c r="JBV24" s="37"/>
      <c r="JBW24" s="37"/>
      <c r="JBX24" s="37"/>
      <c r="JBY24" s="37"/>
      <c r="JBZ24" s="37"/>
      <c r="JCA24" s="37"/>
      <c r="JCB24" s="37"/>
      <c r="JCC24" s="37"/>
      <c r="JCD24" s="37"/>
      <c r="JCE24" s="37"/>
      <c r="JCF24" s="37"/>
      <c r="JCG24" s="37"/>
      <c r="JCH24" s="37"/>
      <c r="JCI24" s="37"/>
      <c r="JCJ24" s="37"/>
      <c r="JCK24" s="37"/>
      <c r="JCL24" s="37"/>
      <c r="JCM24" s="37"/>
      <c r="JCN24" s="37"/>
      <c r="JCO24" s="37"/>
      <c r="JCP24" s="37"/>
      <c r="JCQ24" s="37"/>
      <c r="JCR24" s="37"/>
      <c r="JCS24" s="37"/>
      <c r="JCT24" s="37"/>
      <c r="JCU24" s="37"/>
      <c r="JCV24" s="37"/>
      <c r="JCW24" s="37"/>
      <c r="JCX24" s="37"/>
      <c r="JCY24" s="37"/>
      <c r="JCZ24" s="37"/>
      <c r="JDA24" s="37"/>
      <c r="JDB24" s="37"/>
      <c r="JDC24" s="37"/>
      <c r="JDD24" s="37"/>
      <c r="JDE24" s="37"/>
      <c r="JDF24" s="37"/>
      <c r="JDG24" s="37"/>
      <c r="JDH24" s="37"/>
      <c r="JDI24" s="37"/>
      <c r="JDJ24" s="37"/>
      <c r="JDK24" s="37"/>
      <c r="JDL24" s="37"/>
      <c r="JDM24" s="37"/>
      <c r="JDN24" s="37"/>
      <c r="JDO24" s="37"/>
      <c r="JDP24" s="37"/>
      <c r="JDQ24" s="37"/>
      <c r="JDR24" s="37"/>
      <c r="JDS24" s="37"/>
      <c r="JDT24" s="37"/>
      <c r="JDU24" s="37"/>
      <c r="JDV24" s="37"/>
      <c r="JDW24" s="37"/>
      <c r="JDX24" s="37"/>
      <c r="JDY24" s="37"/>
      <c r="JDZ24" s="37"/>
      <c r="JEA24" s="37"/>
      <c r="JEB24" s="37"/>
      <c r="JEC24" s="37"/>
      <c r="JED24" s="37"/>
      <c r="JEE24" s="37"/>
      <c r="JEF24" s="37"/>
      <c r="JEG24" s="37"/>
      <c r="JEH24" s="37"/>
      <c r="JEI24" s="37"/>
      <c r="JEJ24" s="37"/>
      <c r="JEK24" s="37"/>
      <c r="JEL24" s="37"/>
      <c r="JEM24" s="37"/>
      <c r="JEN24" s="37"/>
      <c r="JEO24" s="37"/>
      <c r="JEP24" s="37"/>
      <c r="JEQ24" s="37"/>
      <c r="JER24" s="37"/>
      <c r="JES24" s="37"/>
      <c r="JET24" s="37"/>
      <c r="JEU24" s="37"/>
      <c r="JEV24" s="37"/>
      <c r="JEW24" s="37"/>
      <c r="JEX24" s="37"/>
      <c r="JEY24" s="37"/>
      <c r="JEZ24" s="37"/>
      <c r="JFA24" s="37"/>
      <c r="JFB24" s="37"/>
      <c r="JFC24" s="37"/>
      <c r="JFD24" s="37"/>
      <c r="JFE24" s="37"/>
      <c r="JFF24" s="37"/>
      <c r="JFG24" s="37"/>
      <c r="JFH24" s="37"/>
      <c r="JFI24" s="37"/>
      <c r="JFJ24" s="37"/>
      <c r="JFK24" s="37"/>
      <c r="JFL24" s="37"/>
      <c r="JFM24" s="37"/>
      <c r="JFN24" s="37"/>
      <c r="JFO24" s="37"/>
      <c r="JFP24" s="37"/>
      <c r="JFQ24" s="37"/>
      <c r="JFR24" s="37"/>
      <c r="JFS24" s="37"/>
      <c r="JFT24" s="37"/>
      <c r="JFU24" s="37"/>
      <c r="JFV24" s="37"/>
      <c r="JFW24" s="37"/>
      <c r="JFX24" s="37"/>
      <c r="JFY24" s="37"/>
      <c r="JFZ24" s="37"/>
      <c r="JGA24" s="37"/>
      <c r="JGB24" s="37"/>
      <c r="JGC24" s="37"/>
      <c r="JGD24" s="37"/>
      <c r="JGE24" s="37"/>
      <c r="JGF24" s="37"/>
      <c r="JGG24" s="37"/>
      <c r="JGH24" s="37"/>
      <c r="JGI24" s="37"/>
      <c r="JGJ24" s="37"/>
      <c r="JGK24" s="37"/>
      <c r="JGL24" s="37"/>
      <c r="JGM24" s="37"/>
      <c r="JGN24" s="37"/>
      <c r="JGO24" s="37"/>
      <c r="JGP24" s="37"/>
      <c r="JGQ24" s="37"/>
      <c r="JGR24" s="37"/>
      <c r="JGS24" s="37"/>
      <c r="JGT24" s="37"/>
      <c r="JGU24" s="37"/>
      <c r="JGV24" s="37"/>
      <c r="JGW24" s="37"/>
      <c r="JGX24" s="37"/>
      <c r="JGY24" s="37"/>
      <c r="JGZ24" s="37"/>
      <c r="JHA24" s="37"/>
      <c r="JHB24" s="37"/>
      <c r="JHC24" s="37"/>
      <c r="JHD24" s="37"/>
      <c r="JHE24" s="37"/>
      <c r="JHF24" s="37"/>
      <c r="JHG24" s="37"/>
      <c r="JHH24" s="37"/>
      <c r="JHI24" s="37"/>
      <c r="JHJ24" s="37"/>
      <c r="JHK24" s="37"/>
      <c r="JHL24" s="37"/>
      <c r="JHM24" s="37"/>
      <c r="JHN24" s="37"/>
      <c r="JHO24" s="37"/>
      <c r="JHP24" s="37"/>
      <c r="JHQ24" s="37"/>
      <c r="JHR24" s="37"/>
      <c r="JHS24" s="37"/>
      <c r="JHT24" s="37"/>
      <c r="JHU24" s="37"/>
      <c r="JHV24" s="37"/>
      <c r="JHW24" s="37"/>
      <c r="JHX24" s="37"/>
      <c r="JHY24" s="37"/>
      <c r="JHZ24" s="37"/>
      <c r="JIA24" s="37"/>
      <c r="JIB24" s="37"/>
      <c r="JIC24" s="37"/>
      <c r="JID24" s="37"/>
      <c r="JIE24" s="37"/>
      <c r="JIF24" s="37"/>
      <c r="JIG24" s="37"/>
      <c r="JIH24" s="37"/>
      <c r="JII24" s="37"/>
      <c r="JIJ24" s="37"/>
      <c r="JIK24" s="37"/>
      <c r="JIL24" s="37"/>
      <c r="JIM24" s="37"/>
      <c r="JIN24" s="37"/>
      <c r="JIO24" s="37"/>
      <c r="JIP24" s="37"/>
      <c r="JIQ24" s="37"/>
      <c r="JIR24" s="37"/>
      <c r="JIS24" s="37"/>
      <c r="JIT24" s="37"/>
      <c r="JIU24" s="37"/>
      <c r="JIV24" s="37"/>
      <c r="JIW24" s="37"/>
      <c r="JIX24" s="37"/>
      <c r="JIY24" s="37"/>
      <c r="JIZ24" s="37"/>
      <c r="JJA24" s="37"/>
      <c r="JJB24" s="37"/>
      <c r="JJC24" s="37"/>
      <c r="JJD24" s="37"/>
      <c r="JJE24" s="37"/>
      <c r="JJF24" s="37"/>
      <c r="JJG24" s="37"/>
      <c r="JJH24" s="37"/>
      <c r="JJI24" s="37"/>
      <c r="JJJ24" s="37"/>
      <c r="JJK24" s="37"/>
      <c r="JJL24" s="37"/>
      <c r="JJM24" s="37"/>
      <c r="JJN24" s="37"/>
      <c r="JJO24" s="37"/>
      <c r="JJP24" s="37"/>
      <c r="JJQ24" s="37"/>
      <c r="JJR24" s="37"/>
      <c r="JJS24" s="37"/>
      <c r="JJT24" s="37"/>
      <c r="JJU24" s="37"/>
      <c r="JJV24" s="37"/>
      <c r="JJW24" s="37"/>
      <c r="JJX24" s="37"/>
      <c r="JJY24" s="37"/>
      <c r="JJZ24" s="37"/>
      <c r="JKA24" s="37"/>
      <c r="JKB24" s="37"/>
      <c r="JKC24" s="37"/>
      <c r="JKD24" s="37"/>
      <c r="JKE24" s="37"/>
      <c r="JKF24" s="37"/>
      <c r="JKG24" s="37"/>
      <c r="JKH24" s="37"/>
      <c r="JKI24" s="37"/>
      <c r="JKJ24" s="37"/>
      <c r="JKK24" s="37"/>
      <c r="JKL24" s="37"/>
      <c r="JKM24" s="37"/>
      <c r="JKN24" s="37"/>
      <c r="JKO24" s="37"/>
      <c r="JKP24" s="37"/>
      <c r="JKQ24" s="37"/>
      <c r="JKR24" s="37"/>
      <c r="JKS24" s="37"/>
      <c r="JKT24" s="37"/>
      <c r="JKU24" s="37"/>
      <c r="JKV24" s="37"/>
      <c r="JKW24" s="37"/>
      <c r="JKX24" s="37"/>
      <c r="JKY24" s="37"/>
      <c r="JKZ24" s="37"/>
      <c r="JLA24" s="37"/>
      <c r="JLB24" s="37"/>
      <c r="JLC24" s="37"/>
      <c r="JLD24" s="37"/>
      <c r="JLE24" s="37"/>
      <c r="JLF24" s="37"/>
      <c r="JLG24" s="37"/>
      <c r="JLH24" s="37"/>
      <c r="JLI24" s="37"/>
      <c r="JLJ24" s="37"/>
      <c r="JLK24" s="37"/>
      <c r="JLL24" s="37"/>
      <c r="JLM24" s="37"/>
      <c r="JLN24" s="37"/>
      <c r="JLO24" s="37"/>
      <c r="JLP24" s="37"/>
      <c r="JLQ24" s="37"/>
      <c r="JLR24" s="37"/>
      <c r="JLS24" s="37"/>
      <c r="JLT24" s="37"/>
      <c r="JLU24" s="37"/>
      <c r="JLV24" s="37"/>
      <c r="JLW24" s="37"/>
      <c r="JLX24" s="37"/>
      <c r="JLY24" s="37"/>
      <c r="JLZ24" s="37"/>
      <c r="JMA24" s="37"/>
      <c r="JMB24" s="37"/>
      <c r="JMC24" s="37"/>
      <c r="JMD24" s="37"/>
      <c r="JME24" s="37"/>
      <c r="JMF24" s="37"/>
      <c r="JMG24" s="37"/>
      <c r="JMH24" s="37"/>
      <c r="JMI24" s="37"/>
      <c r="JMJ24" s="37"/>
      <c r="JMK24" s="37"/>
      <c r="JML24" s="37"/>
      <c r="JMM24" s="37"/>
      <c r="JMN24" s="37"/>
      <c r="JMO24" s="37"/>
      <c r="JMP24" s="37"/>
      <c r="JMQ24" s="37"/>
      <c r="JMR24" s="37"/>
      <c r="JMS24" s="37"/>
      <c r="JMT24" s="37"/>
      <c r="JMU24" s="37"/>
      <c r="JMV24" s="37"/>
      <c r="JMW24" s="37"/>
      <c r="JMX24" s="37"/>
      <c r="JMY24" s="37"/>
      <c r="JMZ24" s="37"/>
      <c r="JNA24" s="37"/>
      <c r="JNB24" s="37"/>
      <c r="JNC24" s="37"/>
      <c r="JND24" s="37"/>
      <c r="JNE24" s="37"/>
      <c r="JNF24" s="37"/>
      <c r="JNG24" s="37"/>
      <c r="JNH24" s="37"/>
      <c r="JNI24" s="37"/>
      <c r="JNJ24" s="37"/>
      <c r="JNK24" s="37"/>
      <c r="JNL24" s="37"/>
      <c r="JNM24" s="37"/>
      <c r="JNN24" s="37"/>
      <c r="JNO24" s="37"/>
      <c r="JNP24" s="37"/>
      <c r="JNQ24" s="37"/>
      <c r="JNR24" s="37"/>
      <c r="JNS24" s="37"/>
      <c r="JNT24" s="37"/>
      <c r="JNU24" s="37"/>
      <c r="JNV24" s="37"/>
      <c r="JNW24" s="37"/>
      <c r="JNX24" s="37"/>
      <c r="JNY24" s="37"/>
      <c r="JNZ24" s="37"/>
      <c r="JOA24" s="37"/>
      <c r="JOB24" s="37"/>
      <c r="JOC24" s="37"/>
      <c r="JOD24" s="37"/>
      <c r="JOE24" s="37"/>
      <c r="JOF24" s="37"/>
      <c r="JOG24" s="37"/>
      <c r="JOH24" s="37"/>
      <c r="JOI24" s="37"/>
      <c r="JOJ24" s="37"/>
      <c r="JOK24" s="37"/>
      <c r="JOL24" s="37"/>
      <c r="JOM24" s="37"/>
      <c r="JON24" s="37"/>
      <c r="JOO24" s="37"/>
      <c r="JOP24" s="37"/>
      <c r="JOQ24" s="37"/>
      <c r="JOR24" s="37"/>
      <c r="JOS24" s="37"/>
      <c r="JOT24" s="37"/>
      <c r="JOU24" s="37"/>
      <c r="JOV24" s="37"/>
      <c r="JOW24" s="37"/>
      <c r="JOX24" s="37"/>
      <c r="JOY24" s="37"/>
      <c r="JOZ24" s="37"/>
      <c r="JPA24" s="37"/>
      <c r="JPB24" s="37"/>
      <c r="JPC24" s="37"/>
      <c r="JPD24" s="37"/>
      <c r="JPE24" s="37"/>
      <c r="JPF24" s="37"/>
      <c r="JPG24" s="37"/>
      <c r="JPH24" s="37"/>
      <c r="JPI24" s="37"/>
      <c r="JPJ24" s="37"/>
      <c r="JPK24" s="37"/>
      <c r="JPL24" s="37"/>
      <c r="JPM24" s="37"/>
      <c r="JPN24" s="37"/>
      <c r="JPO24" s="37"/>
      <c r="JPP24" s="37"/>
      <c r="JPQ24" s="37"/>
      <c r="JPR24" s="37"/>
      <c r="JPS24" s="37"/>
      <c r="JPT24" s="37"/>
      <c r="JPU24" s="37"/>
      <c r="JPV24" s="37"/>
      <c r="JPW24" s="37"/>
      <c r="JPX24" s="37"/>
      <c r="JPY24" s="37"/>
      <c r="JPZ24" s="37"/>
      <c r="JQA24" s="37"/>
      <c r="JQB24" s="37"/>
      <c r="JQC24" s="37"/>
      <c r="JQD24" s="37"/>
      <c r="JQE24" s="37"/>
      <c r="JQF24" s="37"/>
      <c r="JQG24" s="37"/>
      <c r="JQH24" s="37"/>
      <c r="JQI24" s="37"/>
      <c r="JQJ24" s="37"/>
      <c r="JQK24" s="37"/>
      <c r="JQL24" s="37"/>
      <c r="JQM24" s="37"/>
      <c r="JQN24" s="37"/>
      <c r="JQO24" s="37"/>
      <c r="JQP24" s="37"/>
      <c r="JQQ24" s="37"/>
      <c r="JQR24" s="37"/>
      <c r="JQS24" s="37"/>
      <c r="JQT24" s="37"/>
      <c r="JQU24" s="37"/>
      <c r="JQV24" s="37"/>
      <c r="JQW24" s="37"/>
      <c r="JQX24" s="37"/>
      <c r="JQY24" s="37"/>
      <c r="JQZ24" s="37"/>
      <c r="JRA24" s="37"/>
      <c r="JRB24" s="37"/>
      <c r="JRC24" s="37"/>
      <c r="JRD24" s="37"/>
      <c r="JRE24" s="37"/>
      <c r="JRF24" s="37"/>
      <c r="JRG24" s="37"/>
      <c r="JRH24" s="37"/>
      <c r="JRI24" s="37"/>
      <c r="JRJ24" s="37"/>
      <c r="JRK24" s="37"/>
      <c r="JRL24" s="37"/>
      <c r="JRM24" s="37"/>
      <c r="JRN24" s="37"/>
      <c r="JRO24" s="37"/>
      <c r="JRP24" s="37"/>
      <c r="JRQ24" s="37"/>
      <c r="JRR24" s="37"/>
      <c r="JRS24" s="37"/>
      <c r="JRT24" s="37"/>
      <c r="JRU24" s="37"/>
      <c r="JRV24" s="37"/>
      <c r="JRW24" s="37"/>
      <c r="JRX24" s="37"/>
      <c r="JRY24" s="37"/>
      <c r="JRZ24" s="37"/>
      <c r="JSA24" s="37"/>
      <c r="JSB24" s="37"/>
      <c r="JSC24" s="37"/>
      <c r="JSD24" s="37"/>
      <c r="JSE24" s="37"/>
      <c r="JSF24" s="37"/>
      <c r="JSG24" s="37"/>
      <c r="JSH24" s="37"/>
      <c r="JSI24" s="37"/>
      <c r="JSJ24" s="37"/>
      <c r="JSK24" s="37"/>
      <c r="JSL24" s="37"/>
      <c r="JSM24" s="37"/>
      <c r="JSN24" s="37"/>
      <c r="JSO24" s="37"/>
      <c r="JSP24" s="37"/>
      <c r="JSQ24" s="37"/>
      <c r="JSR24" s="37"/>
      <c r="JSS24" s="37"/>
      <c r="JST24" s="37"/>
      <c r="JSU24" s="37"/>
      <c r="JSV24" s="37"/>
      <c r="JSW24" s="37"/>
      <c r="JSX24" s="37"/>
      <c r="JSY24" s="37"/>
      <c r="JSZ24" s="37"/>
      <c r="JTA24" s="37"/>
      <c r="JTB24" s="37"/>
      <c r="JTC24" s="37"/>
      <c r="JTD24" s="37"/>
      <c r="JTE24" s="37"/>
      <c r="JTF24" s="37"/>
      <c r="JTG24" s="37"/>
      <c r="JTH24" s="37"/>
      <c r="JTI24" s="37"/>
      <c r="JTJ24" s="37"/>
      <c r="JTK24" s="37"/>
      <c r="JTL24" s="37"/>
      <c r="JTM24" s="37"/>
      <c r="JTN24" s="37"/>
      <c r="JTO24" s="37"/>
      <c r="JTP24" s="37"/>
      <c r="JTQ24" s="37"/>
      <c r="JTR24" s="37"/>
      <c r="JTS24" s="37"/>
      <c r="JTT24" s="37"/>
      <c r="JTU24" s="37"/>
      <c r="JTV24" s="37"/>
      <c r="JTW24" s="37"/>
      <c r="JTX24" s="37"/>
      <c r="JTY24" s="37"/>
      <c r="JTZ24" s="37"/>
      <c r="JUA24" s="37"/>
      <c r="JUB24" s="37"/>
      <c r="JUC24" s="37"/>
      <c r="JUD24" s="37"/>
      <c r="JUE24" s="37"/>
      <c r="JUF24" s="37"/>
      <c r="JUG24" s="37"/>
      <c r="JUH24" s="37"/>
      <c r="JUI24" s="37"/>
      <c r="JUJ24" s="37"/>
      <c r="JUK24" s="37"/>
      <c r="JUL24" s="37"/>
      <c r="JUM24" s="37"/>
      <c r="JUN24" s="37"/>
      <c r="JUO24" s="37"/>
      <c r="JUP24" s="37"/>
      <c r="JUQ24" s="37"/>
      <c r="JUR24" s="37"/>
      <c r="JUS24" s="37"/>
      <c r="JUT24" s="37"/>
      <c r="JUU24" s="37"/>
      <c r="JUV24" s="37"/>
      <c r="JUW24" s="37"/>
      <c r="JUX24" s="37"/>
      <c r="JUY24" s="37"/>
      <c r="JUZ24" s="37"/>
      <c r="JVA24" s="37"/>
      <c r="JVB24" s="37"/>
      <c r="JVC24" s="37"/>
      <c r="JVD24" s="37"/>
      <c r="JVE24" s="37"/>
      <c r="JVF24" s="37"/>
      <c r="JVG24" s="37"/>
      <c r="JVH24" s="37"/>
      <c r="JVI24" s="37"/>
      <c r="JVJ24" s="37"/>
      <c r="JVK24" s="37"/>
      <c r="JVL24" s="37"/>
      <c r="JVM24" s="37"/>
      <c r="JVN24" s="37"/>
      <c r="JVO24" s="37"/>
      <c r="JVP24" s="37"/>
      <c r="JVQ24" s="37"/>
      <c r="JVR24" s="37"/>
      <c r="JVS24" s="37"/>
      <c r="JVT24" s="37"/>
      <c r="JVU24" s="37"/>
      <c r="JVV24" s="37"/>
      <c r="JVW24" s="37"/>
      <c r="JVX24" s="37"/>
      <c r="JVY24" s="37"/>
      <c r="JVZ24" s="37"/>
      <c r="JWA24" s="37"/>
      <c r="JWB24" s="37"/>
      <c r="JWC24" s="37"/>
      <c r="JWD24" s="37"/>
      <c r="JWE24" s="37"/>
      <c r="JWF24" s="37"/>
      <c r="JWG24" s="37"/>
      <c r="JWH24" s="37"/>
      <c r="JWI24" s="37"/>
      <c r="JWJ24" s="37"/>
      <c r="JWK24" s="37"/>
      <c r="JWL24" s="37"/>
      <c r="JWM24" s="37"/>
      <c r="JWN24" s="37"/>
      <c r="JWO24" s="37"/>
      <c r="JWP24" s="37"/>
      <c r="JWQ24" s="37"/>
      <c r="JWR24" s="37"/>
      <c r="JWS24" s="37"/>
      <c r="JWT24" s="37"/>
      <c r="JWU24" s="37"/>
      <c r="JWV24" s="37"/>
      <c r="JWW24" s="37"/>
      <c r="JWX24" s="37"/>
      <c r="JWY24" s="37"/>
      <c r="JWZ24" s="37"/>
      <c r="JXA24" s="37"/>
      <c r="JXB24" s="37"/>
      <c r="JXC24" s="37"/>
      <c r="JXD24" s="37"/>
      <c r="JXE24" s="37"/>
      <c r="JXF24" s="37"/>
      <c r="JXG24" s="37"/>
      <c r="JXH24" s="37"/>
      <c r="JXI24" s="37"/>
      <c r="JXJ24" s="37"/>
      <c r="JXK24" s="37"/>
      <c r="JXL24" s="37"/>
      <c r="JXM24" s="37"/>
      <c r="JXN24" s="37"/>
      <c r="JXO24" s="37"/>
      <c r="JXP24" s="37"/>
      <c r="JXQ24" s="37"/>
      <c r="JXR24" s="37"/>
      <c r="JXS24" s="37"/>
      <c r="JXT24" s="37"/>
      <c r="JXU24" s="37"/>
      <c r="JXV24" s="37"/>
      <c r="JXW24" s="37"/>
      <c r="JXX24" s="37"/>
      <c r="JXY24" s="37"/>
      <c r="JXZ24" s="37"/>
      <c r="JYA24" s="37"/>
      <c r="JYB24" s="37"/>
      <c r="JYC24" s="37"/>
      <c r="JYD24" s="37"/>
      <c r="JYE24" s="37"/>
      <c r="JYF24" s="37"/>
      <c r="JYG24" s="37"/>
      <c r="JYH24" s="37"/>
      <c r="JYI24" s="37"/>
      <c r="JYJ24" s="37"/>
      <c r="JYK24" s="37"/>
      <c r="JYL24" s="37"/>
      <c r="JYM24" s="37"/>
      <c r="JYN24" s="37"/>
      <c r="JYO24" s="37"/>
      <c r="JYP24" s="37"/>
      <c r="JYQ24" s="37"/>
      <c r="JYR24" s="37"/>
      <c r="JYS24" s="37"/>
      <c r="JYT24" s="37"/>
      <c r="JYU24" s="37"/>
      <c r="JYV24" s="37"/>
      <c r="JYW24" s="37"/>
      <c r="JYX24" s="37"/>
      <c r="JYY24" s="37"/>
      <c r="JYZ24" s="37"/>
      <c r="JZA24" s="37"/>
      <c r="JZB24" s="37"/>
      <c r="JZC24" s="37"/>
      <c r="JZD24" s="37"/>
      <c r="JZE24" s="37"/>
      <c r="JZF24" s="37"/>
      <c r="JZG24" s="37"/>
      <c r="JZH24" s="37"/>
      <c r="JZI24" s="37"/>
      <c r="JZJ24" s="37"/>
      <c r="JZK24" s="37"/>
      <c r="JZL24" s="37"/>
      <c r="JZM24" s="37"/>
      <c r="JZN24" s="37"/>
      <c r="JZO24" s="37"/>
      <c r="JZP24" s="37"/>
      <c r="JZQ24" s="37"/>
      <c r="JZR24" s="37"/>
      <c r="JZS24" s="37"/>
      <c r="JZT24" s="37"/>
      <c r="JZU24" s="37"/>
      <c r="JZV24" s="37"/>
      <c r="JZW24" s="37"/>
      <c r="JZX24" s="37"/>
      <c r="JZY24" s="37"/>
      <c r="JZZ24" s="37"/>
      <c r="KAA24" s="37"/>
      <c r="KAB24" s="37"/>
      <c r="KAC24" s="37"/>
      <c r="KAD24" s="37"/>
      <c r="KAE24" s="37"/>
      <c r="KAF24" s="37"/>
      <c r="KAG24" s="37"/>
      <c r="KAH24" s="37"/>
      <c r="KAI24" s="37"/>
      <c r="KAJ24" s="37"/>
      <c r="KAK24" s="37"/>
      <c r="KAL24" s="37"/>
      <c r="KAM24" s="37"/>
      <c r="KAN24" s="37"/>
      <c r="KAO24" s="37"/>
      <c r="KAP24" s="37"/>
      <c r="KAQ24" s="37"/>
      <c r="KAR24" s="37"/>
      <c r="KAS24" s="37"/>
      <c r="KAT24" s="37"/>
      <c r="KAU24" s="37"/>
      <c r="KAV24" s="37"/>
      <c r="KAW24" s="37"/>
      <c r="KAX24" s="37"/>
      <c r="KAY24" s="37"/>
      <c r="KAZ24" s="37"/>
      <c r="KBA24" s="37"/>
      <c r="KBB24" s="37"/>
      <c r="KBC24" s="37"/>
      <c r="KBD24" s="37"/>
      <c r="KBE24" s="37"/>
      <c r="KBF24" s="37"/>
      <c r="KBG24" s="37"/>
      <c r="KBH24" s="37"/>
      <c r="KBI24" s="37"/>
      <c r="KBJ24" s="37"/>
      <c r="KBK24" s="37"/>
      <c r="KBL24" s="37"/>
      <c r="KBM24" s="37"/>
      <c r="KBN24" s="37"/>
      <c r="KBO24" s="37"/>
      <c r="KBP24" s="37"/>
      <c r="KBQ24" s="37"/>
      <c r="KBR24" s="37"/>
      <c r="KBS24" s="37"/>
      <c r="KBT24" s="37"/>
      <c r="KBU24" s="37"/>
      <c r="KBV24" s="37"/>
      <c r="KBW24" s="37"/>
      <c r="KBX24" s="37"/>
      <c r="KBY24" s="37"/>
      <c r="KBZ24" s="37"/>
      <c r="KCA24" s="37"/>
      <c r="KCB24" s="37"/>
      <c r="KCC24" s="37"/>
      <c r="KCD24" s="37"/>
      <c r="KCE24" s="37"/>
      <c r="KCF24" s="37"/>
      <c r="KCG24" s="37"/>
      <c r="KCH24" s="37"/>
      <c r="KCI24" s="37"/>
      <c r="KCJ24" s="37"/>
      <c r="KCK24" s="37"/>
      <c r="KCL24" s="37"/>
      <c r="KCM24" s="37"/>
      <c r="KCN24" s="37"/>
      <c r="KCO24" s="37"/>
      <c r="KCP24" s="37"/>
      <c r="KCQ24" s="37"/>
      <c r="KCR24" s="37"/>
      <c r="KCS24" s="37"/>
      <c r="KCT24" s="37"/>
      <c r="KCU24" s="37"/>
      <c r="KCV24" s="37"/>
      <c r="KCW24" s="37"/>
      <c r="KCX24" s="37"/>
      <c r="KCY24" s="37"/>
      <c r="KCZ24" s="37"/>
      <c r="KDA24" s="37"/>
      <c r="KDB24" s="37"/>
      <c r="KDC24" s="37"/>
      <c r="KDD24" s="37"/>
      <c r="KDE24" s="37"/>
      <c r="KDF24" s="37"/>
      <c r="KDG24" s="37"/>
      <c r="KDH24" s="37"/>
      <c r="KDI24" s="37"/>
      <c r="KDJ24" s="37"/>
      <c r="KDK24" s="37"/>
      <c r="KDL24" s="37"/>
      <c r="KDM24" s="37"/>
      <c r="KDN24" s="37"/>
      <c r="KDO24" s="37"/>
      <c r="KDP24" s="37"/>
      <c r="KDQ24" s="37"/>
      <c r="KDR24" s="37"/>
      <c r="KDS24" s="37"/>
      <c r="KDT24" s="37"/>
      <c r="KDU24" s="37"/>
      <c r="KDV24" s="37"/>
      <c r="KDW24" s="37"/>
      <c r="KDX24" s="37"/>
      <c r="KDY24" s="37"/>
      <c r="KDZ24" s="37"/>
      <c r="KEA24" s="37"/>
      <c r="KEB24" s="37"/>
      <c r="KEC24" s="37"/>
      <c r="KED24" s="37"/>
      <c r="KEE24" s="37"/>
      <c r="KEF24" s="37"/>
      <c r="KEG24" s="37"/>
      <c r="KEH24" s="37"/>
      <c r="KEI24" s="37"/>
      <c r="KEJ24" s="37"/>
      <c r="KEK24" s="37"/>
      <c r="KEL24" s="37"/>
      <c r="KEM24" s="37"/>
      <c r="KEN24" s="37"/>
      <c r="KEO24" s="37"/>
      <c r="KEP24" s="37"/>
      <c r="KEQ24" s="37"/>
      <c r="KER24" s="37"/>
      <c r="KES24" s="37"/>
      <c r="KET24" s="37"/>
      <c r="KEU24" s="37"/>
      <c r="KEV24" s="37"/>
      <c r="KEW24" s="37"/>
      <c r="KEX24" s="37"/>
      <c r="KEY24" s="37"/>
      <c r="KEZ24" s="37"/>
      <c r="KFA24" s="37"/>
      <c r="KFB24" s="37"/>
      <c r="KFC24" s="37"/>
      <c r="KFD24" s="37"/>
      <c r="KFE24" s="37"/>
      <c r="KFF24" s="37"/>
      <c r="KFG24" s="37"/>
      <c r="KFH24" s="37"/>
      <c r="KFI24" s="37"/>
      <c r="KFJ24" s="37"/>
      <c r="KFK24" s="37"/>
      <c r="KFL24" s="37"/>
      <c r="KFM24" s="37"/>
      <c r="KFN24" s="37"/>
      <c r="KFO24" s="37"/>
      <c r="KFP24" s="37"/>
      <c r="KFQ24" s="37"/>
      <c r="KFR24" s="37"/>
      <c r="KFS24" s="37"/>
      <c r="KFT24" s="37"/>
      <c r="KFU24" s="37"/>
      <c r="KFV24" s="37"/>
      <c r="KFW24" s="37"/>
      <c r="KFX24" s="37"/>
      <c r="KFY24" s="37"/>
      <c r="KFZ24" s="37"/>
      <c r="KGA24" s="37"/>
      <c r="KGB24" s="37"/>
      <c r="KGC24" s="37"/>
      <c r="KGD24" s="37"/>
      <c r="KGE24" s="37"/>
      <c r="KGF24" s="37"/>
      <c r="KGG24" s="37"/>
      <c r="KGH24" s="37"/>
      <c r="KGI24" s="37"/>
      <c r="KGJ24" s="37"/>
      <c r="KGK24" s="37"/>
      <c r="KGL24" s="37"/>
      <c r="KGM24" s="37"/>
      <c r="KGN24" s="37"/>
      <c r="KGO24" s="37"/>
      <c r="KGP24" s="37"/>
      <c r="KGQ24" s="37"/>
      <c r="KGR24" s="37"/>
      <c r="KGS24" s="37"/>
      <c r="KGT24" s="37"/>
      <c r="KGU24" s="37"/>
      <c r="KGV24" s="37"/>
      <c r="KGW24" s="37"/>
      <c r="KGX24" s="37"/>
      <c r="KGY24" s="37"/>
      <c r="KGZ24" s="37"/>
      <c r="KHA24" s="37"/>
      <c r="KHB24" s="37"/>
      <c r="KHC24" s="37"/>
      <c r="KHD24" s="37"/>
      <c r="KHE24" s="37"/>
      <c r="KHF24" s="37"/>
      <c r="KHG24" s="37"/>
      <c r="KHH24" s="37"/>
      <c r="KHI24" s="37"/>
      <c r="KHJ24" s="37"/>
      <c r="KHK24" s="37"/>
      <c r="KHL24" s="37"/>
      <c r="KHM24" s="37"/>
      <c r="KHN24" s="37"/>
      <c r="KHO24" s="37"/>
      <c r="KHP24" s="37"/>
      <c r="KHQ24" s="37"/>
      <c r="KHR24" s="37"/>
      <c r="KHS24" s="37"/>
      <c r="KHT24" s="37"/>
      <c r="KHU24" s="37"/>
      <c r="KHV24" s="37"/>
      <c r="KHW24" s="37"/>
      <c r="KHX24" s="37"/>
      <c r="KHY24" s="37"/>
      <c r="KHZ24" s="37"/>
      <c r="KIA24" s="37"/>
      <c r="KIB24" s="37"/>
      <c r="KIC24" s="37"/>
      <c r="KID24" s="37"/>
      <c r="KIE24" s="37"/>
      <c r="KIF24" s="37"/>
      <c r="KIG24" s="37"/>
      <c r="KIH24" s="37"/>
      <c r="KII24" s="37"/>
      <c r="KIJ24" s="37"/>
      <c r="KIK24" s="37"/>
      <c r="KIL24" s="37"/>
      <c r="KIM24" s="37"/>
      <c r="KIN24" s="37"/>
      <c r="KIO24" s="37"/>
      <c r="KIP24" s="37"/>
      <c r="KIQ24" s="37"/>
      <c r="KIR24" s="37"/>
      <c r="KIS24" s="37"/>
      <c r="KIT24" s="37"/>
      <c r="KIU24" s="37"/>
      <c r="KIV24" s="37"/>
      <c r="KIW24" s="37"/>
      <c r="KIX24" s="37"/>
      <c r="KIY24" s="37"/>
      <c r="KIZ24" s="37"/>
      <c r="KJA24" s="37"/>
      <c r="KJB24" s="37"/>
      <c r="KJC24" s="37"/>
      <c r="KJD24" s="37"/>
      <c r="KJE24" s="37"/>
      <c r="KJF24" s="37"/>
      <c r="KJG24" s="37"/>
      <c r="KJH24" s="37"/>
      <c r="KJI24" s="37"/>
      <c r="KJJ24" s="37"/>
      <c r="KJK24" s="37"/>
      <c r="KJL24" s="37"/>
      <c r="KJM24" s="37"/>
      <c r="KJN24" s="37"/>
      <c r="KJO24" s="37"/>
      <c r="KJP24" s="37"/>
      <c r="KJQ24" s="37"/>
      <c r="KJR24" s="37"/>
      <c r="KJS24" s="37"/>
      <c r="KJT24" s="37"/>
      <c r="KJU24" s="37"/>
      <c r="KJV24" s="37"/>
      <c r="KJW24" s="37"/>
      <c r="KJX24" s="37"/>
      <c r="KJY24" s="37"/>
      <c r="KJZ24" s="37"/>
      <c r="KKA24" s="37"/>
      <c r="KKB24" s="37"/>
      <c r="KKC24" s="37"/>
      <c r="KKD24" s="37"/>
      <c r="KKE24" s="37"/>
      <c r="KKF24" s="37"/>
      <c r="KKG24" s="37"/>
      <c r="KKH24" s="37"/>
      <c r="KKI24" s="37"/>
      <c r="KKJ24" s="37"/>
      <c r="KKK24" s="37"/>
      <c r="KKL24" s="37"/>
      <c r="KKM24" s="37"/>
      <c r="KKN24" s="37"/>
      <c r="KKO24" s="37"/>
      <c r="KKP24" s="37"/>
      <c r="KKQ24" s="37"/>
      <c r="KKR24" s="37"/>
      <c r="KKS24" s="37"/>
      <c r="KKT24" s="37"/>
      <c r="KKU24" s="37"/>
      <c r="KKV24" s="37"/>
      <c r="KKW24" s="37"/>
      <c r="KKX24" s="37"/>
      <c r="KKY24" s="37"/>
      <c r="KKZ24" s="37"/>
      <c r="KLA24" s="37"/>
      <c r="KLB24" s="37"/>
      <c r="KLC24" s="37"/>
      <c r="KLD24" s="37"/>
      <c r="KLE24" s="37"/>
      <c r="KLF24" s="37"/>
      <c r="KLG24" s="37"/>
      <c r="KLH24" s="37"/>
      <c r="KLI24" s="37"/>
      <c r="KLJ24" s="37"/>
      <c r="KLK24" s="37"/>
      <c r="KLL24" s="37"/>
      <c r="KLM24" s="37"/>
      <c r="KLN24" s="37"/>
      <c r="KLO24" s="37"/>
      <c r="KLP24" s="37"/>
      <c r="KLQ24" s="37"/>
      <c r="KLR24" s="37"/>
      <c r="KLS24" s="37"/>
      <c r="KLT24" s="37"/>
      <c r="KLU24" s="37"/>
      <c r="KLV24" s="37"/>
      <c r="KLW24" s="37"/>
      <c r="KLX24" s="37"/>
      <c r="KLY24" s="37"/>
      <c r="KLZ24" s="37"/>
      <c r="KMA24" s="37"/>
      <c r="KMB24" s="37"/>
      <c r="KMC24" s="37"/>
      <c r="KMD24" s="37"/>
      <c r="KME24" s="37"/>
      <c r="KMF24" s="37"/>
      <c r="KMG24" s="37"/>
      <c r="KMH24" s="37"/>
      <c r="KMI24" s="37"/>
      <c r="KMJ24" s="37"/>
      <c r="KMK24" s="37"/>
      <c r="KML24" s="37"/>
      <c r="KMM24" s="37"/>
      <c r="KMN24" s="37"/>
      <c r="KMO24" s="37"/>
      <c r="KMP24" s="37"/>
      <c r="KMQ24" s="37"/>
      <c r="KMR24" s="37"/>
      <c r="KMS24" s="37"/>
      <c r="KMT24" s="37"/>
      <c r="KMU24" s="37"/>
      <c r="KMV24" s="37"/>
      <c r="KMW24" s="37"/>
      <c r="KMX24" s="37"/>
      <c r="KMY24" s="37"/>
      <c r="KMZ24" s="37"/>
      <c r="KNA24" s="37"/>
      <c r="KNB24" s="37"/>
      <c r="KNC24" s="37"/>
      <c r="KND24" s="37"/>
      <c r="KNE24" s="37"/>
      <c r="KNF24" s="37"/>
      <c r="KNG24" s="37"/>
      <c r="KNH24" s="37"/>
      <c r="KNI24" s="37"/>
      <c r="KNJ24" s="37"/>
      <c r="KNK24" s="37"/>
      <c r="KNL24" s="37"/>
      <c r="KNM24" s="37"/>
      <c r="KNN24" s="37"/>
      <c r="KNO24" s="37"/>
      <c r="KNP24" s="37"/>
      <c r="KNQ24" s="37"/>
      <c r="KNR24" s="37"/>
      <c r="KNS24" s="37"/>
      <c r="KNT24" s="37"/>
      <c r="KNU24" s="37"/>
      <c r="KNV24" s="37"/>
      <c r="KNW24" s="37"/>
      <c r="KNX24" s="37"/>
      <c r="KNY24" s="37"/>
      <c r="KNZ24" s="37"/>
      <c r="KOA24" s="37"/>
      <c r="KOB24" s="37"/>
      <c r="KOC24" s="37"/>
      <c r="KOD24" s="37"/>
      <c r="KOE24" s="37"/>
      <c r="KOF24" s="37"/>
      <c r="KOG24" s="37"/>
      <c r="KOH24" s="37"/>
      <c r="KOI24" s="37"/>
      <c r="KOJ24" s="37"/>
      <c r="KOK24" s="37"/>
      <c r="KOL24" s="37"/>
      <c r="KOM24" s="37"/>
      <c r="KON24" s="37"/>
      <c r="KOO24" s="37"/>
      <c r="KOP24" s="37"/>
      <c r="KOQ24" s="37"/>
      <c r="KOR24" s="37"/>
      <c r="KOS24" s="37"/>
      <c r="KOT24" s="37"/>
      <c r="KOU24" s="37"/>
      <c r="KOV24" s="37"/>
      <c r="KOW24" s="37"/>
      <c r="KOX24" s="37"/>
      <c r="KOY24" s="37"/>
      <c r="KOZ24" s="37"/>
      <c r="KPA24" s="37"/>
      <c r="KPB24" s="37"/>
      <c r="KPC24" s="37"/>
      <c r="KPD24" s="37"/>
      <c r="KPE24" s="37"/>
      <c r="KPF24" s="37"/>
      <c r="KPG24" s="37"/>
      <c r="KPH24" s="37"/>
      <c r="KPI24" s="37"/>
      <c r="KPJ24" s="37"/>
      <c r="KPK24" s="37"/>
      <c r="KPL24" s="37"/>
      <c r="KPM24" s="37"/>
      <c r="KPN24" s="37"/>
      <c r="KPO24" s="37"/>
      <c r="KPP24" s="37"/>
      <c r="KPQ24" s="37"/>
      <c r="KPR24" s="37"/>
      <c r="KPS24" s="37"/>
      <c r="KPT24" s="37"/>
      <c r="KPU24" s="37"/>
      <c r="KPV24" s="37"/>
      <c r="KPW24" s="37"/>
      <c r="KPX24" s="37"/>
      <c r="KPY24" s="37"/>
      <c r="KPZ24" s="37"/>
      <c r="KQA24" s="37"/>
      <c r="KQB24" s="37"/>
      <c r="KQC24" s="37"/>
      <c r="KQD24" s="37"/>
      <c r="KQE24" s="37"/>
      <c r="KQF24" s="37"/>
      <c r="KQG24" s="37"/>
      <c r="KQH24" s="37"/>
      <c r="KQI24" s="37"/>
      <c r="KQJ24" s="37"/>
      <c r="KQK24" s="37"/>
      <c r="KQL24" s="37"/>
      <c r="KQM24" s="37"/>
      <c r="KQN24" s="37"/>
      <c r="KQO24" s="37"/>
      <c r="KQP24" s="37"/>
      <c r="KQQ24" s="37"/>
      <c r="KQR24" s="37"/>
      <c r="KQS24" s="37"/>
      <c r="KQT24" s="37"/>
      <c r="KQU24" s="37"/>
      <c r="KQV24" s="37"/>
      <c r="KQW24" s="37"/>
      <c r="KQX24" s="37"/>
      <c r="KQY24" s="37"/>
      <c r="KQZ24" s="37"/>
      <c r="KRA24" s="37"/>
      <c r="KRB24" s="37"/>
      <c r="KRC24" s="37"/>
      <c r="KRD24" s="37"/>
      <c r="KRE24" s="37"/>
      <c r="KRF24" s="37"/>
      <c r="KRG24" s="37"/>
      <c r="KRH24" s="37"/>
      <c r="KRI24" s="37"/>
      <c r="KRJ24" s="37"/>
      <c r="KRK24" s="37"/>
      <c r="KRL24" s="37"/>
      <c r="KRM24" s="37"/>
      <c r="KRN24" s="37"/>
      <c r="KRO24" s="37"/>
      <c r="KRP24" s="37"/>
      <c r="KRQ24" s="37"/>
      <c r="KRR24" s="37"/>
      <c r="KRS24" s="37"/>
      <c r="KRT24" s="37"/>
      <c r="KRU24" s="37"/>
      <c r="KRV24" s="37"/>
      <c r="KRW24" s="37"/>
      <c r="KRX24" s="37"/>
      <c r="KRY24" s="37"/>
      <c r="KRZ24" s="37"/>
      <c r="KSA24" s="37"/>
      <c r="KSB24" s="37"/>
      <c r="KSC24" s="37"/>
      <c r="KSD24" s="37"/>
      <c r="KSE24" s="37"/>
      <c r="KSF24" s="37"/>
      <c r="KSG24" s="37"/>
      <c r="KSH24" s="37"/>
      <c r="KSI24" s="37"/>
      <c r="KSJ24" s="37"/>
      <c r="KSK24" s="37"/>
      <c r="KSL24" s="37"/>
      <c r="KSM24" s="37"/>
      <c r="KSN24" s="37"/>
      <c r="KSO24" s="37"/>
      <c r="KSP24" s="37"/>
      <c r="KSQ24" s="37"/>
      <c r="KSR24" s="37"/>
      <c r="KSS24" s="37"/>
      <c r="KST24" s="37"/>
      <c r="KSU24" s="37"/>
      <c r="KSV24" s="37"/>
      <c r="KSW24" s="37"/>
      <c r="KSX24" s="37"/>
      <c r="KSY24" s="37"/>
      <c r="KSZ24" s="37"/>
      <c r="KTA24" s="37"/>
      <c r="KTB24" s="37"/>
      <c r="KTC24" s="37"/>
      <c r="KTD24" s="37"/>
      <c r="KTE24" s="37"/>
      <c r="KTF24" s="37"/>
      <c r="KTG24" s="37"/>
      <c r="KTH24" s="37"/>
      <c r="KTI24" s="37"/>
      <c r="KTJ24" s="37"/>
      <c r="KTK24" s="37"/>
      <c r="KTL24" s="37"/>
      <c r="KTM24" s="37"/>
      <c r="KTN24" s="37"/>
      <c r="KTO24" s="37"/>
      <c r="KTP24" s="37"/>
      <c r="KTQ24" s="37"/>
      <c r="KTR24" s="37"/>
      <c r="KTS24" s="37"/>
      <c r="KTT24" s="37"/>
      <c r="KTU24" s="37"/>
      <c r="KTV24" s="37"/>
      <c r="KTW24" s="37"/>
      <c r="KTX24" s="37"/>
      <c r="KTY24" s="37"/>
      <c r="KTZ24" s="37"/>
      <c r="KUA24" s="37"/>
      <c r="KUB24" s="37"/>
      <c r="KUC24" s="37"/>
      <c r="KUD24" s="37"/>
      <c r="KUE24" s="37"/>
      <c r="KUF24" s="37"/>
      <c r="KUG24" s="37"/>
      <c r="KUH24" s="37"/>
      <c r="KUI24" s="37"/>
      <c r="KUJ24" s="37"/>
      <c r="KUK24" s="37"/>
      <c r="KUL24" s="37"/>
      <c r="KUM24" s="37"/>
      <c r="KUN24" s="37"/>
      <c r="KUO24" s="37"/>
      <c r="KUP24" s="37"/>
      <c r="KUQ24" s="37"/>
      <c r="KUR24" s="37"/>
      <c r="KUS24" s="37"/>
      <c r="KUT24" s="37"/>
      <c r="KUU24" s="37"/>
      <c r="KUV24" s="37"/>
      <c r="KUW24" s="37"/>
      <c r="KUX24" s="37"/>
      <c r="KUY24" s="37"/>
      <c r="KUZ24" s="37"/>
      <c r="KVA24" s="37"/>
      <c r="KVB24" s="37"/>
      <c r="KVC24" s="37"/>
      <c r="KVD24" s="37"/>
      <c r="KVE24" s="37"/>
      <c r="KVF24" s="37"/>
      <c r="KVG24" s="37"/>
      <c r="KVH24" s="37"/>
      <c r="KVI24" s="37"/>
      <c r="KVJ24" s="37"/>
      <c r="KVK24" s="37"/>
      <c r="KVL24" s="37"/>
      <c r="KVM24" s="37"/>
      <c r="KVN24" s="37"/>
      <c r="KVO24" s="37"/>
      <c r="KVP24" s="37"/>
      <c r="KVQ24" s="37"/>
      <c r="KVR24" s="37"/>
      <c r="KVS24" s="37"/>
      <c r="KVT24" s="37"/>
      <c r="KVU24" s="37"/>
      <c r="KVV24" s="37"/>
      <c r="KVW24" s="37"/>
      <c r="KVX24" s="37"/>
      <c r="KVY24" s="37"/>
      <c r="KVZ24" s="37"/>
      <c r="KWA24" s="37"/>
      <c r="KWB24" s="37"/>
      <c r="KWC24" s="37"/>
      <c r="KWD24" s="37"/>
      <c r="KWE24" s="37"/>
      <c r="KWF24" s="37"/>
      <c r="KWG24" s="37"/>
      <c r="KWH24" s="37"/>
      <c r="KWI24" s="37"/>
      <c r="KWJ24" s="37"/>
      <c r="KWK24" s="37"/>
      <c r="KWL24" s="37"/>
      <c r="KWM24" s="37"/>
      <c r="KWN24" s="37"/>
      <c r="KWO24" s="37"/>
      <c r="KWP24" s="37"/>
      <c r="KWQ24" s="37"/>
      <c r="KWR24" s="37"/>
      <c r="KWS24" s="37"/>
      <c r="KWT24" s="37"/>
      <c r="KWU24" s="37"/>
      <c r="KWV24" s="37"/>
      <c r="KWW24" s="37"/>
      <c r="KWX24" s="37"/>
      <c r="KWY24" s="37"/>
      <c r="KWZ24" s="37"/>
      <c r="KXA24" s="37"/>
      <c r="KXB24" s="37"/>
      <c r="KXC24" s="37"/>
      <c r="KXD24" s="37"/>
      <c r="KXE24" s="37"/>
      <c r="KXF24" s="37"/>
      <c r="KXG24" s="37"/>
      <c r="KXH24" s="37"/>
      <c r="KXI24" s="37"/>
      <c r="KXJ24" s="37"/>
      <c r="KXK24" s="37"/>
      <c r="KXL24" s="37"/>
      <c r="KXM24" s="37"/>
      <c r="KXN24" s="37"/>
      <c r="KXO24" s="37"/>
      <c r="KXP24" s="37"/>
      <c r="KXQ24" s="37"/>
      <c r="KXR24" s="37"/>
      <c r="KXS24" s="37"/>
      <c r="KXT24" s="37"/>
      <c r="KXU24" s="37"/>
      <c r="KXV24" s="37"/>
      <c r="KXW24" s="37"/>
      <c r="KXX24" s="37"/>
      <c r="KXY24" s="37"/>
      <c r="KXZ24" s="37"/>
      <c r="KYA24" s="37"/>
      <c r="KYB24" s="37"/>
      <c r="KYC24" s="37"/>
      <c r="KYD24" s="37"/>
      <c r="KYE24" s="37"/>
      <c r="KYF24" s="37"/>
      <c r="KYG24" s="37"/>
      <c r="KYH24" s="37"/>
      <c r="KYI24" s="37"/>
      <c r="KYJ24" s="37"/>
      <c r="KYK24" s="37"/>
      <c r="KYL24" s="37"/>
      <c r="KYM24" s="37"/>
      <c r="KYN24" s="37"/>
      <c r="KYO24" s="37"/>
      <c r="KYP24" s="37"/>
      <c r="KYQ24" s="37"/>
      <c r="KYR24" s="37"/>
      <c r="KYS24" s="37"/>
      <c r="KYT24" s="37"/>
      <c r="KYU24" s="37"/>
      <c r="KYV24" s="37"/>
      <c r="KYW24" s="37"/>
      <c r="KYX24" s="37"/>
      <c r="KYY24" s="37"/>
      <c r="KYZ24" s="37"/>
      <c r="KZA24" s="37"/>
      <c r="KZB24" s="37"/>
      <c r="KZC24" s="37"/>
      <c r="KZD24" s="37"/>
      <c r="KZE24" s="37"/>
      <c r="KZF24" s="37"/>
      <c r="KZG24" s="37"/>
      <c r="KZH24" s="37"/>
      <c r="KZI24" s="37"/>
      <c r="KZJ24" s="37"/>
      <c r="KZK24" s="37"/>
      <c r="KZL24" s="37"/>
      <c r="KZM24" s="37"/>
      <c r="KZN24" s="37"/>
      <c r="KZO24" s="37"/>
      <c r="KZP24" s="37"/>
      <c r="KZQ24" s="37"/>
      <c r="KZR24" s="37"/>
      <c r="KZS24" s="37"/>
      <c r="KZT24" s="37"/>
      <c r="KZU24" s="37"/>
      <c r="KZV24" s="37"/>
      <c r="KZW24" s="37"/>
      <c r="KZX24" s="37"/>
      <c r="KZY24" s="37"/>
      <c r="KZZ24" s="37"/>
      <c r="LAA24" s="37"/>
      <c r="LAB24" s="37"/>
      <c r="LAC24" s="37"/>
      <c r="LAD24" s="37"/>
      <c r="LAE24" s="37"/>
      <c r="LAF24" s="37"/>
      <c r="LAG24" s="37"/>
      <c r="LAH24" s="37"/>
      <c r="LAI24" s="37"/>
      <c r="LAJ24" s="37"/>
      <c r="LAK24" s="37"/>
      <c r="LAL24" s="37"/>
      <c r="LAM24" s="37"/>
      <c r="LAN24" s="37"/>
      <c r="LAO24" s="37"/>
      <c r="LAP24" s="37"/>
      <c r="LAQ24" s="37"/>
      <c r="LAR24" s="37"/>
      <c r="LAS24" s="37"/>
      <c r="LAT24" s="37"/>
      <c r="LAU24" s="37"/>
      <c r="LAV24" s="37"/>
      <c r="LAW24" s="37"/>
      <c r="LAX24" s="37"/>
      <c r="LAY24" s="37"/>
      <c r="LAZ24" s="37"/>
      <c r="LBA24" s="37"/>
      <c r="LBB24" s="37"/>
      <c r="LBC24" s="37"/>
      <c r="LBD24" s="37"/>
      <c r="LBE24" s="37"/>
      <c r="LBF24" s="37"/>
      <c r="LBG24" s="37"/>
      <c r="LBH24" s="37"/>
      <c r="LBI24" s="37"/>
      <c r="LBJ24" s="37"/>
      <c r="LBK24" s="37"/>
      <c r="LBL24" s="37"/>
      <c r="LBM24" s="37"/>
      <c r="LBN24" s="37"/>
      <c r="LBO24" s="37"/>
      <c r="LBP24" s="37"/>
      <c r="LBQ24" s="37"/>
      <c r="LBR24" s="37"/>
      <c r="LBS24" s="37"/>
      <c r="LBT24" s="37"/>
      <c r="LBU24" s="37"/>
      <c r="LBV24" s="37"/>
      <c r="LBW24" s="37"/>
      <c r="LBX24" s="37"/>
      <c r="LBY24" s="37"/>
      <c r="LBZ24" s="37"/>
      <c r="LCA24" s="37"/>
      <c r="LCB24" s="37"/>
      <c r="LCC24" s="37"/>
      <c r="LCD24" s="37"/>
      <c r="LCE24" s="37"/>
      <c r="LCF24" s="37"/>
      <c r="LCG24" s="37"/>
      <c r="LCH24" s="37"/>
      <c r="LCI24" s="37"/>
      <c r="LCJ24" s="37"/>
      <c r="LCK24" s="37"/>
      <c r="LCL24" s="37"/>
      <c r="LCM24" s="37"/>
      <c r="LCN24" s="37"/>
      <c r="LCO24" s="37"/>
      <c r="LCP24" s="37"/>
      <c r="LCQ24" s="37"/>
      <c r="LCR24" s="37"/>
      <c r="LCS24" s="37"/>
      <c r="LCT24" s="37"/>
      <c r="LCU24" s="37"/>
      <c r="LCV24" s="37"/>
      <c r="LCW24" s="37"/>
      <c r="LCX24" s="37"/>
      <c r="LCY24" s="37"/>
      <c r="LCZ24" s="37"/>
      <c r="LDA24" s="37"/>
      <c r="LDB24" s="37"/>
      <c r="LDC24" s="37"/>
      <c r="LDD24" s="37"/>
      <c r="LDE24" s="37"/>
      <c r="LDF24" s="37"/>
      <c r="LDG24" s="37"/>
      <c r="LDH24" s="37"/>
      <c r="LDI24" s="37"/>
      <c r="LDJ24" s="37"/>
      <c r="LDK24" s="37"/>
      <c r="LDL24" s="37"/>
      <c r="LDM24" s="37"/>
      <c r="LDN24" s="37"/>
      <c r="LDO24" s="37"/>
      <c r="LDP24" s="37"/>
      <c r="LDQ24" s="37"/>
      <c r="LDR24" s="37"/>
      <c r="LDS24" s="37"/>
      <c r="LDT24" s="37"/>
      <c r="LDU24" s="37"/>
      <c r="LDV24" s="37"/>
      <c r="LDW24" s="37"/>
      <c r="LDX24" s="37"/>
      <c r="LDY24" s="37"/>
      <c r="LDZ24" s="37"/>
      <c r="LEA24" s="37"/>
      <c r="LEB24" s="37"/>
      <c r="LEC24" s="37"/>
      <c r="LED24" s="37"/>
      <c r="LEE24" s="37"/>
      <c r="LEF24" s="37"/>
      <c r="LEG24" s="37"/>
      <c r="LEH24" s="37"/>
      <c r="LEI24" s="37"/>
      <c r="LEJ24" s="37"/>
      <c r="LEK24" s="37"/>
      <c r="LEL24" s="37"/>
      <c r="LEM24" s="37"/>
      <c r="LEN24" s="37"/>
      <c r="LEO24" s="37"/>
      <c r="LEP24" s="37"/>
      <c r="LEQ24" s="37"/>
      <c r="LER24" s="37"/>
      <c r="LES24" s="37"/>
      <c r="LET24" s="37"/>
      <c r="LEU24" s="37"/>
      <c r="LEV24" s="37"/>
      <c r="LEW24" s="37"/>
      <c r="LEX24" s="37"/>
      <c r="LEY24" s="37"/>
      <c r="LEZ24" s="37"/>
      <c r="LFA24" s="37"/>
      <c r="LFB24" s="37"/>
      <c r="LFC24" s="37"/>
      <c r="LFD24" s="37"/>
      <c r="LFE24" s="37"/>
      <c r="LFF24" s="37"/>
      <c r="LFG24" s="37"/>
      <c r="LFH24" s="37"/>
      <c r="LFI24" s="37"/>
      <c r="LFJ24" s="37"/>
      <c r="LFK24" s="37"/>
      <c r="LFL24" s="37"/>
      <c r="LFM24" s="37"/>
      <c r="LFN24" s="37"/>
      <c r="LFO24" s="37"/>
      <c r="LFP24" s="37"/>
      <c r="LFQ24" s="37"/>
      <c r="LFR24" s="37"/>
      <c r="LFS24" s="37"/>
      <c r="LFT24" s="37"/>
      <c r="LFU24" s="37"/>
      <c r="LFV24" s="37"/>
      <c r="LFW24" s="37"/>
      <c r="LFX24" s="37"/>
      <c r="LFY24" s="37"/>
      <c r="LFZ24" s="37"/>
      <c r="LGA24" s="37"/>
      <c r="LGB24" s="37"/>
      <c r="LGC24" s="37"/>
      <c r="LGD24" s="37"/>
      <c r="LGE24" s="37"/>
      <c r="LGF24" s="37"/>
      <c r="LGG24" s="37"/>
      <c r="LGH24" s="37"/>
      <c r="LGI24" s="37"/>
      <c r="LGJ24" s="37"/>
      <c r="LGK24" s="37"/>
      <c r="LGL24" s="37"/>
      <c r="LGM24" s="37"/>
      <c r="LGN24" s="37"/>
      <c r="LGO24" s="37"/>
      <c r="LGP24" s="37"/>
      <c r="LGQ24" s="37"/>
      <c r="LGR24" s="37"/>
      <c r="LGS24" s="37"/>
      <c r="LGT24" s="37"/>
      <c r="LGU24" s="37"/>
      <c r="LGV24" s="37"/>
      <c r="LGW24" s="37"/>
      <c r="LGX24" s="37"/>
      <c r="LGY24" s="37"/>
      <c r="LGZ24" s="37"/>
      <c r="LHA24" s="37"/>
      <c r="LHB24" s="37"/>
      <c r="LHC24" s="37"/>
      <c r="LHD24" s="37"/>
      <c r="LHE24" s="37"/>
      <c r="LHF24" s="37"/>
      <c r="LHG24" s="37"/>
      <c r="LHH24" s="37"/>
      <c r="LHI24" s="37"/>
      <c r="LHJ24" s="37"/>
      <c r="LHK24" s="37"/>
      <c r="LHL24" s="37"/>
      <c r="LHM24" s="37"/>
      <c r="LHN24" s="37"/>
      <c r="LHO24" s="37"/>
      <c r="LHP24" s="37"/>
      <c r="LHQ24" s="37"/>
      <c r="LHR24" s="37"/>
      <c r="LHS24" s="37"/>
      <c r="LHT24" s="37"/>
      <c r="LHU24" s="37"/>
      <c r="LHV24" s="37"/>
      <c r="LHW24" s="37"/>
      <c r="LHX24" s="37"/>
      <c r="LHY24" s="37"/>
      <c r="LHZ24" s="37"/>
      <c r="LIA24" s="37"/>
      <c r="LIB24" s="37"/>
      <c r="LIC24" s="37"/>
      <c r="LID24" s="37"/>
      <c r="LIE24" s="37"/>
      <c r="LIF24" s="37"/>
      <c r="LIG24" s="37"/>
      <c r="LIH24" s="37"/>
      <c r="LII24" s="37"/>
      <c r="LIJ24" s="37"/>
      <c r="LIK24" s="37"/>
      <c r="LIL24" s="37"/>
      <c r="LIM24" s="37"/>
      <c r="LIN24" s="37"/>
      <c r="LIO24" s="37"/>
      <c r="LIP24" s="37"/>
      <c r="LIQ24" s="37"/>
      <c r="LIR24" s="37"/>
      <c r="LIS24" s="37"/>
      <c r="LIT24" s="37"/>
      <c r="LIU24" s="37"/>
      <c r="LIV24" s="37"/>
      <c r="LIW24" s="37"/>
      <c r="LIX24" s="37"/>
      <c r="LIY24" s="37"/>
      <c r="LIZ24" s="37"/>
      <c r="LJA24" s="37"/>
      <c r="LJB24" s="37"/>
      <c r="LJC24" s="37"/>
      <c r="LJD24" s="37"/>
      <c r="LJE24" s="37"/>
      <c r="LJF24" s="37"/>
      <c r="LJG24" s="37"/>
      <c r="LJH24" s="37"/>
      <c r="LJI24" s="37"/>
      <c r="LJJ24" s="37"/>
      <c r="LJK24" s="37"/>
      <c r="LJL24" s="37"/>
      <c r="LJM24" s="37"/>
      <c r="LJN24" s="37"/>
      <c r="LJO24" s="37"/>
      <c r="LJP24" s="37"/>
      <c r="LJQ24" s="37"/>
      <c r="LJR24" s="37"/>
      <c r="LJS24" s="37"/>
      <c r="LJT24" s="37"/>
      <c r="LJU24" s="37"/>
      <c r="LJV24" s="37"/>
      <c r="LJW24" s="37"/>
      <c r="LJX24" s="37"/>
      <c r="LJY24" s="37"/>
      <c r="LJZ24" s="37"/>
      <c r="LKA24" s="37"/>
      <c r="LKB24" s="37"/>
      <c r="LKC24" s="37"/>
      <c r="LKD24" s="37"/>
      <c r="LKE24" s="37"/>
      <c r="LKF24" s="37"/>
      <c r="LKG24" s="37"/>
      <c r="LKH24" s="37"/>
      <c r="LKI24" s="37"/>
      <c r="LKJ24" s="37"/>
      <c r="LKK24" s="37"/>
      <c r="LKL24" s="37"/>
      <c r="LKM24" s="37"/>
      <c r="LKN24" s="37"/>
      <c r="LKO24" s="37"/>
      <c r="LKP24" s="37"/>
      <c r="LKQ24" s="37"/>
      <c r="LKR24" s="37"/>
      <c r="LKS24" s="37"/>
      <c r="LKT24" s="37"/>
      <c r="LKU24" s="37"/>
      <c r="LKV24" s="37"/>
      <c r="LKW24" s="37"/>
      <c r="LKX24" s="37"/>
      <c r="LKY24" s="37"/>
      <c r="LKZ24" s="37"/>
      <c r="LLA24" s="37"/>
      <c r="LLB24" s="37"/>
      <c r="LLC24" s="37"/>
      <c r="LLD24" s="37"/>
      <c r="LLE24" s="37"/>
      <c r="LLF24" s="37"/>
      <c r="LLG24" s="37"/>
      <c r="LLH24" s="37"/>
      <c r="LLI24" s="37"/>
      <c r="LLJ24" s="37"/>
      <c r="LLK24" s="37"/>
      <c r="LLL24" s="37"/>
      <c r="LLM24" s="37"/>
      <c r="LLN24" s="37"/>
      <c r="LLO24" s="37"/>
      <c r="LLP24" s="37"/>
      <c r="LLQ24" s="37"/>
      <c r="LLR24" s="37"/>
      <c r="LLS24" s="37"/>
      <c r="LLT24" s="37"/>
      <c r="LLU24" s="37"/>
      <c r="LLV24" s="37"/>
      <c r="LLW24" s="37"/>
      <c r="LLX24" s="37"/>
      <c r="LLY24" s="37"/>
      <c r="LLZ24" s="37"/>
      <c r="LMA24" s="37"/>
      <c r="LMB24" s="37"/>
      <c r="LMC24" s="37"/>
      <c r="LMD24" s="37"/>
      <c r="LME24" s="37"/>
      <c r="LMF24" s="37"/>
      <c r="LMG24" s="37"/>
      <c r="LMH24" s="37"/>
      <c r="LMI24" s="37"/>
      <c r="LMJ24" s="37"/>
      <c r="LMK24" s="37"/>
      <c r="LML24" s="37"/>
      <c r="LMM24" s="37"/>
      <c r="LMN24" s="37"/>
      <c r="LMO24" s="37"/>
      <c r="LMP24" s="37"/>
      <c r="LMQ24" s="37"/>
      <c r="LMR24" s="37"/>
      <c r="LMS24" s="37"/>
      <c r="LMT24" s="37"/>
      <c r="LMU24" s="37"/>
      <c r="LMV24" s="37"/>
      <c r="LMW24" s="37"/>
      <c r="LMX24" s="37"/>
      <c r="LMY24" s="37"/>
      <c r="LMZ24" s="37"/>
      <c r="LNA24" s="37"/>
      <c r="LNB24" s="37"/>
      <c r="LNC24" s="37"/>
      <c r="LND24" s="37"/>
      <c r="LNE24" s="37"/>
      <c r="LNF24" s="37"/>
      <c r="LNG24" s="37"/>
      <c r="LNH24" s="37"/>
      <c r="LNI24" s="37"/>
      <c r="LNJ24" s="37"/>
      <c r="LNK24" s="37"/>
      <c r="LNL24" s="37"/>
      <c r="LNM24" s="37"/>
      <c r="LNN24" s="37"/>
      <c r="LNO24" s="37"/>
      <c r="LNP24" s="37"/>
      <c r="LNQ24" s="37"/>
      <c r="LNR24" s="37"/>
      <c r="LNS24" s="37"/>
      <c r="LNT24" s="37"/>
      <c r="LNU24" s="37"/>
      <c r="LNV24" s="37"/>
      <c r="LNW24" s="37"/>
      <c r="LNX24" s="37"/>
      <c r="LNY24" s="37"/>
      <c r="LNZ24" s="37"/>
      <c r="LOA24" s="37"/>
      <c r="LOB24" s="37"/>
      <c r="LOC24" s="37"/>
      <c r="LOD24" s="37"/>
      <c r="LOE24" s="37"/>
      <c r="LOF24" s="37"/>
      <c r="LOG24" s="37"/>
      <c r="LOH24" s="37"/>
      <c r="LOI24" s="37"/>
      <c r="LOJ24" s="37"/>
      <c r="LOK24" s="37"/>
      <c r="LOL24" s="37"/>
      <c r="LOM24" s="37"/>
      <c r="LON24" s="37"/>
      <c r="LOO24" s="37"/>
      <c r="LOP24" s="37"/>
      <c r="LOQ24" s="37"/>
      <c r="LOR24" s="37"/>
      <c r="LOS24" s="37"/>
      <c r="LOT24" s="37"/>
      <c r="LOU24" s="37"/>
      <c r="LOV24" s="37"/>
      <c r="LOW24" s="37"/>
      <c r="LOX24" s="37"/>
      <c r="LOY24" s="37"/>
      <c r="LOZ24" s="37"/>
      <c r="LPA24" s="37"/>
      <c r="LPB24" s="37"/>
      <c r="LPC24" s="37"/>
      <c r="LPD24" s="37"/>
      <c r="LPE24" s="37"/>
      <c r="LPF24" s="37"/>
      <c r="LPG24" s="37"/>
      <c r="LPH24" s="37"/>
      <c r="LPI24" s="37"/>
      <c r="LPJ24" s="37"/>
      <c r="LPK24" s="37"/>
      <c r="LPL24" s="37"/>
      <c r="LPM24" s="37"/>
      <c r="LPN24" s="37"/>
      <c r="LPO24" s="37"/>
      <c r="LPP24" s="37"/>
      <c r="LPQ24" s="37"/>
      <c r="LPR24" s="37"/>
      <c r="LPS24" s="37"/>
      <c r="LPT24" s="37"/>
      <c r="LPU24" s="37"/>
      <c r="LPV24" s="37"/>
      <c r="LPW24" s="37"/>
      <c r="LPX24" s="37"/>
      <c r="LPY24" s="37"/>
      <c r="LPZ24" s="37"/>
      <c r="LQA24" s="37"/>
      <c r="LQB24" s="37"/>
      <c r="LQC24" s="37"/>
      <c r="LQD24" s="37"/>
      <c r="LQE24" s="37"/>
      <c r="LQF24" s="37"/>
      <c r="LQG24" s="37"/>
      <c r="LQH24" s="37"/>
      <c r="LQI24" s="37"/>
      <c r="LQJ24" s="37"/>
      <c r="LQK24" s="37"/>
      <c r="LQL24" s="37"/>
      <c r="LQM24" s="37"/>
      <c r="LQN24" s="37"/>
      <c r="LQO24" s="37"/>
      <c r="LQP24" s="37"/>
      <c r="LQQ24" s="37"/>
      <c r="LQR24" s="37"/>
      <c r="LQS24" s="37"/>
      <c r="LQT24" s="37"/>
      <c r="LQU24" s="37"/>
      <c r="LQV24" s="37"/>
      <c r="LQW24" s="37"/>
      <c r="LQX24" s="37"/>
      <c r="LQY24" s="37"/>
      <c r="LQZ24" s="37"/>
      <c r="LRA24" s="37"/>
      <c r="LRB24" s="37"/>
      <c r="LRC24" s="37"/>
      <c r="LRD24" s="37"/>
      <c r="LRE24" s="37"/>
      <c r="LRF24" s="37"/>
      <c r="LRG24" s="37"/>
      <c r="LRH24" s="37"/>
      <c r="LRI24" s="37"/>
      <c r="LRJ24" s="37"/>
      <c r="LRK24" s="37"/>
      <c r="LRL24" s="37"/>
      <c r="LRM24" s="37"/>
      <c r="LRN24" s="37"/>
      <c r="LRO24" s="37"/>
      <c r="LRP24" s="37"/>
      <c r="LRQ24" s="37"/>
      <c r="LRR24" s="37"/>
      <c r="LRS24" s="37"/>
      <c r="LRT24" s="37"/>
      <c r="LRU24" s="37"/>
      <c r="LRV24" s="37"/>
      <c r="LRW24" s="37"/>
      <c r="LRX24" s="37"/>
      <c r="LRY24" s="37"/>
      <c r="LRZ24" s="37"/>
      <c r="LSA24" s="37"/>
      <c r="LSB24" s="37"/>
      <c r="LSC24" s="37"/>
      <c r="LSD24" s="37"/>
      <c r="LSE24" s="37"/>
      <c r="LSF24" s="37"/>
      <c r="LSG24" s="37"/>
      <c r="LSH24" s="37"/>
      <c r="LSI24" s="37"/>
      <c r="LSJ24" s="37"/>
      <c r="LSK24" s="37"/>
      <c r="LSL24" s="37"/>
      <c r="LSM24" s="37"/>
      <c r="LSN24" s="37"/>
      <c r="LSO24" s="37"/>
      <c r="LSP24" s="37"/>
      <c r="LSQ24" s="37"/>
      <c r="LSR24" s="37"/>
      <c r="LSS24" s="37"/>
      <c r="LST24" s="37"/>
      <c r="LSU24" s="37"/>
      <c r="LSV24" s="37"/>
      <c r="LSW24" s="37"/>
      <c r="LSX24" s="37"/>
      <c r="LSY24" s="37"/>
      <c r="LSZ24" s="37"/>
      <c r="LTA24" s="37"/>
      <c r="LTB24" s="37"/>
      <c r="LTC24" s="37"/>
      <c r="LTD24" s="37"/>
      <c r="LTE24" s="37"/>
      <c r="LTF24" s="37"/>
      <c r="LTG24" s="37"/>
      <c r="LTH24" s="37"/>
      <c r="LTI24" s="37"/>
      <c r="LTJ24" s="37"/>
      <c r="LTK24" s="37"/>
      <c r="LTL24" s="37"/>
      <c r="LTM24" s="37"/>
      <c r="LTN24" s="37"/>
      <c r="LTO24" s="37"/>
      <c r="LTP24" s="37"/>
      <c r="LTQ24" s="37"/>
      <c r="LTR24" s="37"/>
      <c r="LTS24" s="37"/>
      <c r="LTT24" s="37"/>
      <c r="LTU24" s="37"/>
      <c r="LTV24" s="37"/>
      <c r="LTW24" s="37"/>
      <c r="LTX24" s="37"/>
      <c r="LTY24" s="37"/>
      <c r="LTZ24" s="37"/>
      <c r="LUA24" s="37"/>
      <c r="LUB24" s="37"/>
      <c r="LUC24" s="37"/>
      <c r="LUD24" s="37"/>
      <c r="LUE24" s="37"/>
      <c r="LUF24" s="37"/>
      <c r="LUG24" s="37"/>
      <c r="LUH24" s="37"/>
      <c r="LUI24" s="37"/>
      <c r="LUJ24" s="37"/>
      <c r="LUK24" s="37"/>
      <c r="LUL24" s="37"/>
      <c r="LUM24" s="37"/>
      <c r="LUN24" s="37"/>
      <c r="LUO24" s="37"/>
      <c r="LUP24" s="37"/>
      <c r="LUQ24" s="37"/>
      <c r="LUR24" s="37"/>
      <c r="LUS24" s="37"/>
      <c r="LUT24" s="37"/>
      <c r="LUU24" s="37"/>
      <c r="LUV24" s="37"/>
      <c r="LUW24" s="37"/>
      <c r="LUX24" s="37"/>
      <c r="LUY24" s="37"/>
      <c r="LUZ24" s="37"/>
      <c r="LVA24" s="37"/>
      <c r="LVB24" s="37"/>
      <c r="LVC24" s="37"/>
      <c r="LVD24" s="37"/>
      <c r="LVE24" s="37"/>
      <c r="LVF24" s="37"/>
      <c r="LVG24" s="37"/>
      <c r="LVH24" s="37"/>
      <c r="LVI24" s="37"/>
      <c r="LVJ24" s="37"/>
      <c r="LVK24" s="37"/>
      <c r="LVL24" s="37"/>
      <c r="LVM24" s="37"/>
      <c r="LVN24" s="37"/>
      <c r="LVO24" s="37"/>
      <c r="LVP24" s="37"/>
      <c r="LVQ24" s="37"/>
      <c r="LVR24" s="37"/>
      <c r="LVS24" s="37"/>
      <c r="LVT24" s="37"/>
      <c r="LVU24" s="37"/>
      <c r="LVV24" s="37"/>
      <c r="LVW24" s="37"/>
      <c r="LVX24" s="37"/>
      <c r="LVY24" s="37"/>
      <c r="LVZ24" s="37"/>
      <c r="LWA24" s="37"/>
      <c r="LWB24" s="37"/>
      <c r="LWC24" s="37"/>
      <c r="LWD24" s="37"/>
      <c r="LWE24" s="37"/>
      <c r="LWF24" s="37"/>
      <c r="LWG24" s="37"/>
      <c r="LWH24" s="37"/>
      <c r="LWI24" s="37"/>
      <c r="LWJ24" s="37"/>
      <c r="LWK24" s="37"/>
      <c r="LWL24" s="37"/>
      <c r="LWM24" s="37"/>
      <c r="LWN24" s="37"/>
      <c r="LWO24" s="37"/>
      <c r="LWP24" s="37"/>
      <c r="LWQ24" s="37"/>
      <c r="LWR24" s="37"/>
      <c r="LWS24" s="37"/>
      <c r="LWT24" s="37"/>
      <c r="LWU24" s="37"/>
      <c r="LWV24" s="37"/>
      <c r="LWW24" s="37"/>
      <c r="LWX24" s="37"/>
      <c r="LWY24" s="37"/>
      <c r="LWZ24" s="37"/>
      <c r="LXA24" s="37"/>
      <c r="LXB24" s="37"/>
      <c r="LXC24" s="37"/>
      <c r="LXD24" s="37"/>
      <c r="LXE24" s="37"/>
      <c r="LXF24" s="37"/>
      <c r="LXG24" s="37"/>
      <c r="LXH24" s="37"/>
      <c r="LXI24" s="37"/>
      <c r="LXJ24" s="37"/>
      <c r="LXK24" s="37"/>
      <c r="LXL24" s="37"/>
      <c r="LXM24" s="37"/>
      <c r="LXN24" s="37"/>
      <c r="LXO24" s="37"/>
      <c r="LXP24" s="37"/>
      <c r="LXQ24" s="37"/>
      <c r="LXR24" s="37"/>
      <c r="LXS24" s="37"/>
      <c r="LXT24" s="37"/>
      <c r="LXU24" s="37"/>
      <c r="LXV24" s="37"/>
      <c r="LXW24" s="37"/>
      <c r="LXX24" s="37"/>
      <c r="LXY24" s="37"/>
      <c r="LXZ24" s="37"/>
      <c r="LYA24" s="37"/>
      <c r="LYB24" s="37"/>
      <c r="LYC24" s="37"/>
      <c r="LYD24" s="37"/>
      <c r="LYE24" s="37"/>
      <c r="LYF24" s="37"/>
      <c r="LYG24" s="37"/>
      <c r="LYH24" s="37"/>
      <c r="LYI24" s="37"/>
      <c r="LYJ24" s="37"/>
      <c r="LYK24" s="37"/>
      <c r="LYL24" s="37"/>
      <c r="LYM24" s="37"/>
      <c r="LYN24" s="37"/>
      <c r="LYO24" s="37"/>
      <c r="LYP24" s="37"/>
      <c r="LYQ24" s="37"/>
      <c r="LYR24" s="37"/>
      <c r="LYS24" s="37"/>
      <c r="LYT24" s="37"/>
      <c r="LYU24" s="37"/>
      <c r="LYV24" s="37"/>
      <c r="LYW24" s="37"/>
      <c r="LYX24" s="37"/>
      <c r="LYY24" s="37"/>
      <c r="LYZ24" s="37"/>
      <c r="LZA24" s="37"/>
      <c r="LZB24" s="37"/>
      <c r="LZC24" s="37"/>
      <c r="LZD24" s="37"/>
      <c r="LZE24" s="37"/>
      <c r="LZF24" s="37"/>
      <c r="LZG24" s="37"/>
      <c r="LZH24" s="37"/>
      <c r="LZI24" s="37"/>
      <c r="LZJ24" s="37"/>
      <c r="LZK24" s="37"/>
      <c r="LZL24" s="37"/>
      <c r="LZM24" s="37"/>
      <c r="LZN24" s="37"/>
      <c r="LZO24" s="37"/>
      <c r="LZP24" s="37"/>
      <c r="LZQ24" s="37"/>
      <c r="LZR24" s="37"/>
      <c r="LZS24" s="37"/>
      <c r="LZT24" s="37"/>
      <c r="LZU24" s="37"/>
      <c r="LZV24" s="37"/>
      <c r="LZW24" s="37"/>
      <c r="LZX24" s="37"/>
      <c r="LZY24" s="37"/>
      <c r="LZZ24" s="37"/>
      <c r="MAA24" s="37"/>
      <c r="MAB24" s="37"/>
      <c r="MAC24" s="37"/>
      <c r="MAD24" s="37"/>
      <c r="MAE24" s="37"/>
      <c r="MAF24" s="37"/>
      <c r="MAG24" s="37"/>
      <c r="MAH24" s="37"/>
      <c r="MAI24" s="37"/>
      <c r="MAJ24" s="37"/>
      <c r="MAK24" s="37"/>
      <c r="MAL24" s="37"/>
      <c r="MAM24" s="37"/>
      <c r="MAN24" s="37"/>
      <c r="MAO24" s="37"/>
      <c r="MAP24" s="37"/>
      <c r="MAQ24" s="37"/>
      <c r="MAR24" s="37"/>
      <c r="MAS24" s="37"/>
      <c r="MAT24" s="37"/>
      <c r="MAU24" s="37"/>
      <c r="MAV24" s="37"/>
      <c r="MAW24" s="37"/>
      <c r="MAX24" s="37"/>
      <c r="MAY24" s="37"/>
      <c r="MAZ24" s="37"/>
      <c r="MBA24" s="37"/>
      <c r="MBB24" s="37"/>
      <c r="MBC24" s="37"/>
      <c r="MBD24" s="37"/>
      <c r="MBE24" s="37"/>
      <c r="MBF24" s="37"/>
      <c r="MBG24" s="37"/>
      <c r="MBH24" s="37"/>
      <c r="MBI24" s="37"/>
      <c r="MBJ24" s="37"/>
      <c r="MBK24" s="37"/>
      <c r="MBL24" s="37"/>
      <c r="MBM24" s="37"/>
      <c r="MBN24" s="37"/>
      <c r="MBO24" s="37"/>
      <c r="MBP24" s="37"/>
      <c r="MBQ24" s="37"/>
      <c r="MBR24" s="37"/>
      <c r="MBS24" s="37"/>
      <c r="MBT24" s="37"/>
      <c r="MBU24" s="37"/>
      <c r="MBV24" s="37"/>
      <c r="MBW24" s="37"/>
      <c r="MBX24" s="37"/>
      <c r="MBY24" s="37"/>
      <c r="MBZ24" s="37"/>
      <c r="MCA24" s="37"/>
      <c r="MCB24" s="37"/>
      <c r="MCC24" s="37"/>
      <c r="MCD24" s="37"/>
      <c r="MCE24" s="37"/>
      <c r="MCF24" s="37"/>
      <c r="MCG24" s="37"/>
      <c r="MCH24" s="37"/>
      <c r="MCI24" s="37"/>
      <c r="MCJ24" s="37"/>
      <c r="MCK24" s="37"/>
      <c r="MCL24" s="37"/>
      <c r="MCM24" s="37"/>
      <c r="MCN24" s="37"/>
      <c r="MCO24" s="37"/>
      <c r="MCP24" s="37"/>
      <c r="MCQ24" s="37"/>
      <c r="MCR24" s="37"/>
      <c r="MCS24" s="37"/>
      <c r="MCT24" s="37"/>
      <c r="MCU24" s="37"/>
      <c r="MCV24" s="37"/>
      <c r="MCW24" s="37"/>
      <c r="MCX24" s="37"/>
      <c r="MCY24" s="37"/>
      <c r="MCZ24" s="37"/>
      <c r="MDA24" s="37"/>
      <c r="MDB24" s="37"/>
      <c r="MDC24" s="37"/>
      <c r="MDD24" s="37"/>
      <c r="MDE24" s="37"/>
      <c r="MDF24" s="37"/>
      <c r="MDG24" s="37"/>
      <c r="MDH24" s="37"/>
      <c r="MDI24" s="37"/>
      <c r="MDJ24" s="37"/>
      <c r="MDK24" s="37"/>
      <c r="MDL24" s="37"/>
      <c r="MDM24" s="37"/>
      <c r="MDN24" s="37"/>
      <c r="MDO24" s="37"/>
      <c r="MDP24" s="37"/>
      <c r="MDQ24" s="37"/>
      <c r="MDR24" s="37"/>
      <c r="MDS24" s="37"/>
      <c r="MDT24" s="37"/>
      <c r="MDU24" s="37"/>
      <c r="MDV24" s="37"/>
      <c r="MDW24" s="37"/>
      <c r="MDX24" s="37"/>
      <c r="MDY24" s="37"/>
      <c r="MDZ24" s="37"/>
      <c r="MEA24" s="37"/>
      <c r="MEB24" s="37"/>
      <c r="MEC24" s="37"/>
      <c r="MED24" s="37"/>
      <c r="MEE24" s="37"/>
      <c r="MEF24" s="37"/>
      <c r="MEG24" s="37"/>
      <c r="MEH24" s="37"/>
      <c r="MEI24" s="37"/>
      <c r="MEJ24" s="37"/>
      <c r="MEK24" s="37"/>
      <c r="MEL24" s="37"/>
      <c r="MEM24" s="37"/>
      <c r="MEN24" s="37"/>
      <c r="MEO24" s="37"/>
      <c r="MEP24" s="37"/>
      <c r="MEQ24" s="37"/>
      <c r="MER24" s="37"/>
      <c r="MES24" s="37"/>
      <c r="MET24" s="37"/>
      <c r="MEU24" s="37"/>
      <c r="MEV24" s="37"/>
      <c r="MEW24" s="37"/>
      <c r="MEX24" s="37"/>
      <c r="MEY24" s="37"/>
      <c r="MEZ24" s="37"/>
      <c r="MFA24" s="37"/>
      <c r="MFB24" s="37"/>
      <c r="MFC24" s="37"/>
      <c r="MFD24" s="37"/>
      <c r="MFE24" s="37"/>
      <c r="MFF24" s="37"/>
      <c r="MFG24" s="37"/>
      <c r="MFH24" s="37"/>
      <c r="MFI24" s="37"/>
      <c r="MFJ24" s="37"/>
      <c r="MFK24" s="37"/>
      <c r="MFL24" s="37"/>
      <c r="MFM24" s="37"/>
      <c r="MFN24" s="37"/>
      <c r="MFO24" s="37"/>
      <c r="MFP24" s="37"/>
      <c r="MFQ24" s="37"/>
      <c r="MFR24" s="37"/>
      <c r="MFS24" s="37"/>
      <c r="MFT24" s="37"/>
      <c r="MFU24" s="37"/>
      <c r="MFV24" s="37"/>
      <c r="MFW24" s="37"/>
      <c r="MFX24" s="37"/>
      <c r="MFY24" s="37"/>
      <c r="MFZ24" s="37"/>
      <c r="MGA24" s="37"/>
      <c r="MGB24" s="37"/>
      <c r="MGC24" s="37"/>
      <c r="MGD24" s="37"/>
      <c r="MGE24" s="37"/>
      <c r="MGF24" s="37"/>
      <c r="MGG24" s="37"/>
      <c r="MGH24" s="37"/>
      <c r="MGI24" s="37"/>
      <c r="MGJ24" s="37"/>
      <c r="MGK24" s="37"/>
      <c r="MGL24" s="37"/>
      <c r="MGM24" s="37"/>
      <c r="MGN24" s="37"/>
      <c r="MGO24" s="37"/>
      <c r="MGP24" s="37"/>
      <c r="MGQ24" s="37"/>
      <c r="MGR24" s="37"/>
      <c r="MGS24" s="37"/>
      <c r="MGT24" s="37"/>
      <c r="MGU24" s="37"/>
      <c r="MGV24" s="37"/>
      <c r="MGW24" s="37"/>
      <c r="MGX24" s="37"/>
      <c r="MGY24" s="37"/>
      <c r="MGZ24" s="37"/>
      <c r="MHA24" s="37"/>
      <c r="MHB24" s="37"/>
      <c r="MHC24" s="37"/>
      <c r="MHD24" s="37"/>
      <c r="MHE24" s="37"/>
      <c r="MHF24" s="37"/>
      <c r="MHG24" s="37"/>
      <c r="MHH24" s="37"/>
      <c r="MHI24" s="37"/>
      <c r="MHJ24" s="37"/>
      <c r="MHK24" s="37"/>
      <c r="MHL24" s="37"/>
      <c r="MHM24" s="37"/>
      <c r="MHN24" s="37"/>
      <c r="MHO24" s="37"/>
      <c r="MHP24" s="37"/>
      <c r="MHQ24" s="37"/>
      <c r="MHR24" s="37"/>
      <c r="MHS24" s="37"/>
      <c r="MHT24" s="37"/>
      <c r="MHU24" s="37"/>
      <c r="MHV24" s="37"/>
      <c r="MHW24" s="37"/>
      <c r="MHX24" s="37"/>
      <c r="MHY24" s="37"/>
      <c r="MHZ24" s="37"/>
      <c r="MIA24" s="37"/>
      <c r="MIB24" s="37"/>
      <c r="MIC24" s="37"/>
      <c r="MID24" s="37"/>
      <c r="MIE24" s="37"/>
      <c r="MIF24" s="37"/>
      <c r="MIG24" s="37"/>
      <c r="MIH24" s="37"/>
      <c r="MII24" s="37"/>
      <c r="MIJ24" s="37"/>
      <c r="MIK24" s="37"/>
      <c r="MIL24" s="37"/>
      <c r="MIM24" s="37"/>
      <c r="MIN24" s="37"/>
      <c r="MIO24" s="37"/>
      <c r="MIP24" s="37"/>
      <c r="MIQ24" s="37"/>
      <c r="MIR24" s="37"/>
      <c r="MIS24" s="37"/>
      <c r="MIT24" s="37"/>
      <c r="MIU24" s="37"/>
      <c r="MIV24" s="37"/>
      <c r="MIW24" s="37"/>
      <c r="MIX24" s="37"/>
      <c r="MIY24" s="37"/>
      <c r="MIZ24" s="37"/>
      <c r="MJA24" s="37"/>
      <c r="MJB24" s="37"/>
      <c r="MJC24" s="37"/>
      <c r="MJD24" s="37"/>
      <c r="MJE24" s="37"/>
      <c r="MJF24" s="37"/>
      <c r="MJG24" s="37"/>
      <c r="MJH24" s="37"/>
      <c r="MJI24" s="37"/>
      <c r="MJJ24" s="37"/>
      <c r="MJK24" s="37"/>
      <c r="MJL24" s="37"/>
      <c r="MJM24" s="37"/>
      <c r="MJN24" s="37"/>
      <c r="MJO24" s="37"/>
      <c r="MJP24" s="37"/>
      <c r="MJQ24" s="37"/>
      <c r="MJR24" s="37"/>
      <c r="MJS24" s="37"/>
      <c r="MJT24" s="37"/>
      <c r="MJU24" s="37"/>
      <c r="MJV24" s="37"/>
      <c r="MJW24" s="37"/>
      <c r="MJX24" s="37"/>
      <c r="MJY24" s="37"/>
      <c r="MJZ24" s="37"/>
      <c r="MKA24" s="37"/>
      <c r="MKB24" s="37"/>
      <c r="MKC24" s="37"/>
      <c r="MKD24" s="37"/>
      <c r="MKE24" s="37"/>
      <c r="MKF24" s="37"/>
      <c r="MKG24" s="37"/>
      <c r="MKH24" s="37"/>
      <c r="MKI24" s="37"/>
      <c r="MKJ24" s="37"/>
      <c r="MKK24" s="37"/>
      <c r="MKL24" s="37"/>
      <c r="MKM24" s="37"/>
      <c r="MKN24" s="37"/>
      <c r="MKO24" s="37"/>
      <c r="MKP24" s="37"/>
      <c r="MKQ24" s="37"/>
      <c r="MKR24" s="37"/>
      <c r="MKS24" s="37"/>
      <c r="MKT24" s="37"/>
      <c r="MKU24" s="37"/>
      <c r="MKV24" s="37"/>
      <c r="MKW24" s="37"/>
      <c r="MKX24" s="37"/>
      <c r="MKY24" s="37"/>
      <c r="MKZ24" s="37"/>
      <c r="MLA24" s="37"/>
      <c r="MLB24" s="37"/>
      <c r="MLC24" s="37"/>
      <c r="MLD24" s="37"/>
      <c r="MLE24" s="37"/>
      <c r="MLF24" s="37"/>
      <c r="MLG24" s="37"/>
      <c r="MLH24" s="37"/>
      <c r="MLI24" s="37"/>
      <c r="MLJ24" s="37"/>
      <c r="MLK24" s="37"/>
      <c r="MLL24" s="37"/>
      <c r="MLM24" s="37"/>
      <c r="MLN24" s="37"/>
      <c r="MLO24" s="37"/>
      <c r="MLP24" s="37"/>
      <c r="MLQ24" s="37"/>
      <c r="MLR24" s="37"/>
      <c r="MLS24" s="37"/>
      <c r="MLT24" s="37"/>
      <c r="MLU24" s="37"/>
      <c r="MLV24" s="37"/>
      <c r="MLW24" s="37"/>
      <c r="MLX24" s="37"/>
      <c r="MLY24" s="37"/>
      <c r="MLZ24" s="37"/>
      <c r="MMA24" s="37"/>
      <c r="MMB24" s="37"/>
      <c r="MMC24" s="37"/>
      <c r="MMD24" s="37"/>
      <c r="MME24" s="37"/>
      <c r="MMF24" s="37"/>
      <c r="MMG24" s="37"/>
      <c r="MMH24" s="37"/>
      <c r="MMI24" s="37"/>
      <c r="MMJ24" s="37"/>
      <c r="MMK24" s="37"/>
      <c r="MML24" s="37"/>
      <c r="MMM24" s="37"/>
      <c r="MMN24" s="37"/>
      <c r="MMO24" s="37"/>
      <c r="MMP24" s="37"/>
      <c r="MMQ24" s="37"/>
      <c r="MMR24" s="37"/>
      <c r="MMS24" s="37"/>
      <c r="MMT24" s="37"/>
      <c r="MMU24" s="37"/>
      <c r="MMV24" s="37"/>
      <c r="MMW24" s="37"/>
      <c r="MMX24" s="37"/>
      <c r="MMY24" s="37"/>
      <c r="MMZ24" s="37"/>
      <c r="MNA24" s="37"/>
      <c r="MNB24" s="37"/>
      <c r="MNC24" s="37"/>
      <c r="MND24" s="37"/>
      <c r="MNE24" s="37"/>
      <c r="MNF24" s="37"/>
      <c r="MNG24" s="37"/>
      <c r="MNH24" s="37"/>
      <c r="MNI24" s="37"/>
      <c r="MNJ24" s="37"/>
      <c r="MNK24" s="37"/>
      <c r="MNL24" s="37"/>
      <c r="MNM24" s="37"/>
      <c r="MNN24" s="37"/>
      <c r="MNO24" s="37"/>
      <c r="MNP24" s="37"/>
      <c r="MNQ24" s="37"/>
      <c r="MNR24" s="37"/>
      <c r="MNS24" s="37"/>
      <c r="MNT24" s="37"/>
      <c r="MNU24" s="37"/>
      <c r="MNV24" s="37"/>
      <c r="MNW24" s="37"/>
      <c r="MNX24" s="37"/>
      <c r="MNY24" s="37"/>
      <c r="MNZ24" s="37"/>
      <c r="MOA24" s="37"/>
      <c r="MOB24" s="37"/>
      <c r="MOC24" s="37"/>
      <c r="MOD24" s="37"/>
      <c r="MOE24" s="37"/>
      <c r="MOF24" s="37"/>
      <c r="MOG24" s="37"/>
      <c r="MOH24" s="37"/>
      <c r="MOI24" s="37"/>
      <c r="MOJ24" s="37"/>
      <c r="MOK24" s="37"/>
      <c r="MOL24" s="37"/>
      <c r="MOM24" s="37"/>
      <c r="MON24" s="37"/>
      <c r="MOO24" s="37"/>
      <c r="MOP24" s="37"/>
      <c r="MOQ24" s="37"/>
      <c r="MOR24" s="37"/>
      <c r="MOS24" s="37"/>
      <c r="MOT24" s="37"/>
      <c r="MOU24" s="37"/>
      <c r="MOV24" s="37"/>
      <c r="MOW24" s="37"/>
      <c r="MOX24" s="37"/>
      <c r="MOY24" s="37"/>
      <c r="MOZ24" s="37"/>
      <c r="MPA24" s="37"/>
      <c r="MPB24" s="37"/>
      <c r="MPC24" s="37"/>
      <c r="MPD24" s="37"/>
      <c r="MPE24" s="37"/>
      <c r="MPF24" s="37"/>
      <c r="MPG24" s="37"/>
      <c r="MPH24" s="37"/>
      <c r="MPI24" s="37"/>
      <c r="MPJ24" s="37"/>
      <c r="MPK24" s="37"/>
      <c r="MPL24" s="37"/>
      <c r="MPM24" s="37"/>
      <c r="MPN24" s="37"/>
      <c r="MPO24" s="37"/>
      <c r="MPP24" s="37"/>
      <c r="MPQ24" s="37"/>
      <c r="MPR24" s="37"/>
      <c r="MPS24" s="37"/>
      <c r="MPT24" s="37"/>
      <c r="MPU24" s="37"/>
      <c r="MPV24" s="37"/>
      <c r="MPW24" s="37"/>
      <c r="MPX24" s="37"/>
      <c r="MPY24" s="37"/>
      <c r="MPZ24" s="37"/>
      <c r="MQA24" s="37"/>
      <c r="MQB24" s="37"/>
      <c r="MQC24" s="37"/>
      <c r="MQD24" s="37"/>
      <c r="MQE24" s="37"/>
      <c r="MQF24" s="37"/>
      <c r="MQG24" s="37"/>
      <c r="MQH24" s="37"/>
      <c r="MQI24" s="37"/>
      <c r="MQJ24" s="37"/>
      <c r="MQK24" s="37"/>
      <c r="MQL24" s="37"/>
      <c r="MQM24" s="37"/>
      <c r="MQN24" s="37"/>
      <c r="MQO24" s="37"/>
      <c r="MQP24" s="37"/>
      <c r="MQQ24" s="37"/>
      <c r="MQR24" s="37"/>
      <c r="MQS24" s="37"/>
      <c r="MQT24" s="37"/>
      <c r="MQU24" s="37"/>
      <c r="MQV24" s="37"/>
      <c r="MQW24" s="37"/>
      <c r="MQX24" s="37"/>
      <c r="MQY24" s="37"/>
      <c r="MQZ24" s="37"/>
      <c r="MRA24" s="37"/>
      <c r="MRB24" s="37"/>
      <c r="MRC24" s="37"/>
      <c r="MRD24" s="37"/>
      <c r="MRE24" s="37"/>
      <c r="MRF24" s="37"/>
      <c r="MRG24" s="37"/>
      <c r="MRH24" s="37"/>
      <c r="MRI24" s="37"/>
      <c r="MRJ24" s="37"/>
      <c r="MRK24" s="37"/>
      <c r="MRL24" s="37"/>
      <c r="MRM24" s="37"/>
      <c r="MRN24" s="37"/>
      <c r="MRO24" s="37"/>
      <c r="MRP24" s="37"/>
      <c r="MRQ24" s="37"/>
      <c r="MRR24" s="37"/>
      <c r="MRS24" s="37"/>
      <c r="MRT24" s="37"/>
      <c r="MRU24" s="37"/>
      <c r="MRV24" s="37"/>
      <c r="MRW24" s="37"/>
      <c r="MRX24" s="37"/>
      <c r="MRY24" s="37"/>
      <c r="MRZ24" s="37"/>
      <c r="MSA24" s="37"/>
      <c r="MSB24" s="37"/>
      <c r="MSC24" s="37"/>
      <c r="MSD24" s="37"/>
      <c r="MSE24" s="37"/>
      <c r="MSF24" s="37"/>
      <c r="MSG24" s="37"/>
      <c r="MSH24" s="37"/>
      <c r="MSI24" s="37"/>
      <c r="MSJ24" s="37"/>
      <c r="MSK24" s="37"/>
      <c r="MSL24" s="37"/>
      <c r="MSM24" s="37"/>
      <c r="MSN24" s="37"/>
      <c r="MSO24" s="37"/>
      <c r="MSP24" s="37"/>
      <c r="MSQ24" s="37"/>
      <c r="MSR24" s="37"/>
      <c r="MSS24" s="37"/>
      <c r="MST24" s="37"/>
      <c r="MSU24" s="37"/>
      <c r="MSV24" s="37"/>
      <c r="MSW24" s="37"/>
      <c r="MSX24" s="37"/>
      <c r="MSY24" s="37"/>
      <c r="MSZ24" s="37"/>
      <c r="MTA24" s="37"/>
      <c r="MTB24" s="37"/>
      <c r="MTC24" s="37"/>
      <c r="MTD24" s="37"/>
      <c r="MTE24" s="37"/>
      <c r="MTF24" s="37"/>
      <c r="MTG24" s="37"/>
      <c r="MTH24" s="37"/>
      <c r="MTI24" s="37"/>
      <c r="MTJ24" s="37"/>
      <c r="MTK24" s="37"/>
      <c r="MTL24" s="37"/>
      <c r="MTM24" s="37"/>
      <c r="MTN24" s="37"/>
      <c r="MTO24" s="37"/>
      <c r="MTP24" s="37"/>
      <c r="MTQ24" s="37"/>
      <c r="MTR24" s="37"/>
      <c r="MTS24" s="37"/>
      <c r="MTT24" s="37"/>
      <c r="MTU24" s="37"/>
      <c r="MTV24" s="37"/>
      <c r="MTW24" s="37"/>
      <c r="MTX24" s="37"/>
      <c r="MTY24" s="37"/>
      <c r="MTZ24" s="37"/>
      <c r="MUA24" s="37"/>
      <c r="MUB24" s="37"/>
      <c r="MUC24" s="37"/>
      <c r="MUD24" s="37"/>
      <c r="MUE24" s="37"/>
      <c r="MUF24" s="37"/>
      <c r="MUG24" s="37"/>
      <c r="MUH24" s="37"/>
      <c r="MUI24" s="37"/>
      <c r="MUJ24" s="37"/>
      <c r="MUK24" s="37"/>
      <c r="MUL24" s="37"/>
      <c r="MUM24" s="37"/>
      <c r="MUN24" s="37"/>
      <c r="MUO24" s="37"/>
      <c r="MUP24" s="37"/>
      <c r="MUQ24" s="37"/>
      <c r="MUR24" s="37"/>
      <c r="MUS24" s="37"/>
      <c r="MUT24" s="37"/>
      <c r="MUU24" s="37"/>
      <c r="MUV24" s="37"/>
      <c r="MUW24" s="37"/>
      <c r="MUX24" s="37"/>
      <c r="MUY24" s="37"/>
      <c r="MUZ24" s="37"/>
      <c r="MVA24" s="37"/>
      <c r="MVB24" s="37"/>
      <c r="MVC24" s="37"/>
      <c r="MVD24" s="37"/>
      <c r="MVE24" s="37"/>
      <c r="MVF24" s="37"/>
      <c r="MVG24" s="37"/>
      <c r="MVH24" s="37"/>
      <c r="MVI24" s="37"/>
      <c r="MVJ24" s="37"/>
      <c r="MVK24" s="37"/>
      <c r="MVL24" s="37"/>
      <c r="MVM24" s="37"/>
      <c r="MVN24" s="37"/>
      <c r="MVO24" s="37"/>
      <c r="MVP24" s="37"/>
      <c r="MVQ24" s="37"/>
      <c r="MVR24" s="37"/>
      <c r="MVS24" s="37"/>
      <c r="MVT24" s="37"/>
      <c r="MVU24" s="37"/>
      <c r="MVV24" s="37"/>
      <c r="MVW24" s="37"/>
      <c r="MVX24" s="37"/>
      <c r="MVY24" s="37"/>
      <c r="MVZ24" s="37"/>
      <c r="MWA24" s="37"/>
      <c r="MWB24" s="37"/>
      <c r="MWC24" s="37"/>
      <c r="MWD24" s="37"/>
      <c r="MWE24" s="37"/>
      <c r="MWF24" s="37"/>
      <c r="MWG24" s="37"/>
      <c r="MWH24" s="37"/>
      <c r="MWI24" s="37"/>
      <c r="MWJ24" s="37"/>
      <c r="MWK24" s="37"/>
      <c r="MWL24" s="37"/>
      <c r="MWM24" s="37"/>
      <c r="MWN24" s="37"/>
      <c r="MWO24" s="37"/>
      <c r="MWP24" s="37"/>
      <c r="MWQ24" s="37"/>
      <c r="MWR24" s="37"/>
      <c r="MWS24" s="37"/>
      <c r="MWT24" s="37"/>
      <c r="MWU24" s="37"/>
      <c r="MWV24" s="37"/>
      <c r="MWW24" s="37"/>
      <c r="MWX24" s="37"/>
      <c r="MWY24" s="37"/>
      <c r="MWZ24" s="37"/>
      <c r="MXA24" s="37"/>
      <c r="MXB24" s="37"/>
      <c r="MXC24" s="37"/>
      <c r="MXD24" s="37"/>
      <c r="MXE24" s="37"/>
      <c r="MXF24" s="37"/>
      <c r="MXG24" s="37"/>
      <c r="MXH24" s="37"/>
      <c r="MXI24" s="37"/>
      <c r="MXJ24" s="37"/>
      <c r="MXK24" s="37"/>
      <c r="MXL24" s="37"/>
      <c r="MXM24" s="37"/>
      <c r="MXN24" s="37"/>
      <c r="MXO24" s="37"/>
      <c r="MXP24" s="37"/>
      <c r="MXQ24" s="37"/>
      <c r="MXR24" s="37"/>
      <c r="MXS24" s="37"/>
      <c r="MXT24" s="37"/>
      <c r="MXU24" s="37"/>
      <c r="MXV24" s="37"/>
      <c r="MXW24" s="37"/>
      <c r="MXX24" s="37"/>
      <c r="MXY24" s="37"/>
      <c r="MXZ24" s="37"/>
      <c r="MYA24" s="37"/>
      <c r="MYB24" s="37"/>
      <c r="MYC24" s="37"/>
      <c r="MYD24" s="37"/>
      <c r="MYE24" s="37"/>
      <c r="MYF24" s="37"/>
      <c r="MYG24" s="37"/>
      <c r="MYH24" s="37"/>
      <c r="MYI24" s="37"/>
      <c r="MYJ24" s="37"/>
      <c r="MYK24" s="37"/>
      <c r="MYL24" s="37"/>
      <c r="MYM24" s="37"/>
      <c r="MYN24" s="37"/>
      <c r="MYO24" s="37"/>
      <c r="MYP24" s="37"/>
      <c r="MYQ24" s="37"/>
      <c r="MYR24" s="37"/>
      <c r="MYS24" s="37"/>
      <c r="MYT24" s="37"/>
      <c r="MYU24" s="37"/>
      <c r="MYV24" s="37"/>
      <c r="MYW24" s="37"/>
      <c r="MYX24" s="37"/>
      <c r="MYY24" s="37"/>
      <c r="MYZ24" s="37"/>
      <c r="MZA24" s="37"/>
      <c r="MZB24" s="37"/>
      <c r="MZC24" s="37"/>
      <c r="MZD24" s="37"/>
      <c r="MZE24" s="37"/>
      <c r="MZF24" s="37"/>
      <c r="MZG24" s="37"/>
      <c r="MZH24" s="37"/>
      <c r="MZI24" s="37"/>
      <c r="MZJ24" s="37"/>
      <c r="MZK24" s="37"/>
      <c r="MZL24" s="37"/>
      <c r="MZM24" s="37"/>
      <c r="MZN24" s="37"/>
      <c r="MZO24" s="37"/>
      <c r="MZP24" s="37"/>
      <c r="MZQ24" s="37"/>
      <c r="MZR24" s="37"/>
      <c r="MZS24" s="37"/>
      <c r="MZT24" s="37"/>
      <c r="MZU24" s="37"/>
      <c r="MZV24" s="37"/>
      <c r="MZW24" s="37"/>
      <c r="MZX24" s="37"/>
      <c r="MZY24" s="37"/>
      <c r="MZZ24" s="37"/>
      <c r="NAA24" s="37"/>
      <c r="NAB24" s="37"/>
      <c r="NAC24" s="37"/>
      <c r="NAD24" s="37"/>
      <c r="NAE24" s="37"/>
      <c r="NAF24" s="37"/>
      <c r="NAG24" s="37"/>
      <c r="NAH24" s="37"/>
      <c r="NAI24" s="37"/>
      <c r="NAJ24" s="37"/>
      <c r="NAK24" s="37"/>
      <c r="NAL24" s="37"/>
      <c r="NAM24" s="37"/>
      <c r="NAN24" s="37"/>
      <c r="NAO24" s="37"/>
      <c r="NAP24" s="37"/>
      <c r="NAQ24" s="37"/>
      <c r="NAR24" s="37"/>
      <c r="NAS24" s="37"/>
      <c r="NAT24" s="37"/>
      <c r="NAU24" s="37"/>
      <c r="NAV24" s="37"/>
      <c r="NAW24" s="37"/>
      <c r="NAX24" s="37"/>
      <c r="NAY24" s="37"/>
      <c r="NAZ24" s="37"/>
      <c r="NBA24" s="37"/>
      <c r="NBB24" s="37"/>
      <c r="NBC24" s="37"/>
      <c r="NBD24" s="37"/>
      <c r="NBE24" s="37"/>
      <c r="NBF24" s="37"/>
      <c r="NBG24" s="37"/>
      <c r="NBH24" s="37"/>
      <c r="NBI24" s="37"/>
      <c r="NBJ24" s="37"/>
      <c r="NBK24" s="37"/>
      <c r="NBL24" s="37"/>
      <c r="NBM24" s="37"/>
      <c r="NBN24" s="37"/>
      <c r="NBO24" s="37"/>
      <c r="NBP24" s="37"/>
      <c r="NBQ24" s="37"/>
      <c r="NBR24" s="37"/>
      <c r="NBS24" s="37"/>
      <c r="NBT24" s="37"/>
      <c r="NBU24" s="37"/>
      <c r="NBV24" s="37"/>
      <c r="NBW24" s="37"/>
      <c r="NBX24" s="37"/>
      <c r="NBY24" s="37"/>
      <c r="NBZ24" s="37"/>
      <c r="NCA24" s="37"/>
      <c r="NCB24" s="37"/>
      <c r="NCC24" s="37"/>
      <c r="NCD24" s="37"/>
      <c r="NCE24" s="37"/>
      <c r="NCF24" s="37"/>
      <c r="NCG24" s="37"/>
      <c r="NCH24" s="37"/>
      <c r="NCI24" s="37"/>
      <c r="NCJ24" s="37"/>
      <c r="NCK24" s="37"/>
      <c r="NCL24" s="37"/>
      <c r="NCM24" s="37"/>
      <c r="NCN24" s="37"/>
      <c r="NCO24" s="37"/>
      <c r="NCP24" s="37"/>
      <c r="NCQ24" s="37"/>
      <c r="NCR24" s="37"/>
      <c r="NCS24" s="37"/>
      <c r="NCT24" s="37"/>
      <c r="NCU24" s="37"/>
      <c r="NCV24" s="37"/>
      <c r="NCW24" s="37"/>
      <c r="NCX24" s="37"/>
      <c r="NCY24" s="37"/>
      <c r="NCZ24" s="37"/>
      <c r="NDA24" s="37"/>
      <c r="NDB24" s="37"/>
      <c r="NDC24" s="37"/>
      <c r="NDD24" s="37"/>
      <c r="NDE24" s="37"/>
      <c r="NDF24" s="37"/>
      <c r="NDG24" s="37"/>
      <c r="NDH24" s="37"/>
      <c r="NDI24" s="37"/>
      <c r="NDJ24" s="37"/>
      <c r="NDK24" s="37"/>
      <c r="NDL24" s="37"/>
      <c r="NDM24" s="37"/>
      <c r="NDN24" s="37"/>
      <c r="NDO24" s="37"/>
      <c r="NDP24" s="37"/>
      <c r="NDQ24" s="37"/>
      <c r="NDR24" s="37"/>
      <c r="NDS24" s="37"/>
      <c r="NDT24" s="37"/>
      <c r="NDU24" s="37"/>
      <c r="NDV24" s="37"/>
      <c r="NDW24" s="37"/>
      <c r="NDX24" s="37"/>
      <c r="NDY24" s="37"/>
      <c r="NDZ24" s="37"/>
      <c r="NEA24" s="37"/>
      <c r="NEB24" s="37"/>
      <c r="NEC24" s="37"/>
      <c r="NED24" s="37"/>
      <c r="NEE24" s="37"/>
      <c r="NEF24" s="37"/>
      <c r="NEG24" s="37"/>
      <c r="NEH24" s="37"/>
      <c r="NEI24" s="37"/>
      <c r="NEJ24" s="37"/>
      <c r="NEK24" s="37"/>
      <c r="NEL24" s="37"/>
      <c r="NEM24" s="37"/>
      <c r="NEN24" s="37"/>
      <c r="NEO24" s="37"/>
      <c r="NEP24" s="37"/>
      <c r="NEQ24" s="37"/>
      <c r="NER24" s="37"/>
      <c r="NES24" s="37"/>
      <c r="NET24" s="37"/>
      <c r="NEU24" s="37"/>
      <c r="NEV24" s="37"/>
      <c r="NEW24" s="37"/>
      <c r="NEX24" s="37"/>
      <c r="NEY24" s="37"/>
      <c r="NEZ24" s="37"/>
      <c r="NFA24" s="37"/>
      <c r="NFB24" s="37"/>
      <c r="NFC24" s="37"/>
      <c r="NFD24" s="37"/>
      <c r="NFE24" s="37"/>
      <c r="NFF24" s="37"/>
      <c r="NFG24" s="37"/>
      <c r="NFH24" s="37"/>
      <c r="NFI24" s="37"/>
      <c r="NFJ24" s="37"/>
      <c r="NFK24" s="37"/>
      <c r="NFL24" s="37"/>
      <c r="NFM24" s="37"/>
      <c r="NFN24" s="37"/>
      <c r="NFO24" s="37"/>
      <c r="NFP24" s="37"/>
      <c r="NFQ24" s="37"/>
      <c r="NFR24" s="37"/>
      <c r="NFS24" s="37"/>
      <c r="NFT24" s="37"/>
      <c r="NFU24" s="37"/>
      <c r="NFV24" s="37"/>
      <c r="NFW24" s="37"/>
      <c r="NFX24" s="37"/>
      <c r="NFY24" s="37"/>
      <c r="NFZ24" s="37"/>
      <c r="NGA24" s="37"/>
      <c r="NGB24" s="37"/>
      <c r="NGC24" s="37"/>
      <c r="NGD24" s="37"/>
      <c r="NGE24" s="37"/>
      <c r="NGF24" s="37"/>
      <c r="NGG24" s="37"/>
      <c r="NGH24" s="37"/>
      <c r="NGI24" s="37"/>
      <c r="NGJ24" s="37"/>
      <c r="NGK24" s="37"/>
      <c r="NGL24" s="37"/>
      <c r="NGM24" s="37"/>
      <c r="NGN24" s="37"/>
      <c r="NGO24" s="37"/>
      <c r="NGP24" s="37"/>
      <c r="NGQ24" s="37"/>
      <c r="NGR24" s="37"/>
      <c r="NGS24" s="37"/>
      <c r="NGT24" s="37"/>
      <c r="NGU24" s="37"/>
      <c r="NGV24" s="37"/>
      <c r="NGW24" s="37"/>
      <c r="NGX24" s="37"/>
      <c r="NGY24" s="37"/>
      <c r="NGZ24" s="37"/>
      <c r="NHA24" s="37"/>
      <c r="NHB24" s="37"/>
      <c r="NHC24" s="37"/>
      <c r="NHD24" s="37"/>
      <c r="NHE24" s="37"/>
      <c r="NHF24" s="37"/>
      <c r="NHG24" s="37"/>
      <c r="NHH24" s="37"/>
      <c r="NHI24" s="37"/>
      <c r="NHJ24" s="37"/>
      <c r="NHK24" s="37"/>
      <c r="NHL24" s="37"/>
      <c r="NHM24" s="37"/>
      <c r="NHN24" s="37"/>
      <c r="NHO24" s="37"/>
      <c r="NHP24" s="37"/>
      <c r="NHQ24" s="37"/>
      <c r="NHR24" s="37"/>
      <c r="NHS24" s="37"/>
      <c r="NHT24" s="37"/>
      <c r="NHU24" s="37"/>
      <c r="NHV24" s="37"/>
      <c r="NHW24" s="37"/>
      <c r="NHX24" s="37"/>
      <c r="NHY24" s="37"/>
      <c r="NHZ24" s="37"/>
      <c r="NIA24" s="37"/>
      <c r="NIB24" s="37"/>
      <c r="NIC24" s="37"/>
      <c r="NID24" s="37"/>
      <c r="NIE24" s="37"/>
      <c r="NIF24" s="37"/>
      <c r="NIG24" s="37"/>
      <c r="NIH24" s="37"/>
      <c r="NII24" s="37"/>
      <c r="NIJ24" s="37"/>
      <c r="NIK24" s="37"/>
      <c r="NIL24" s="37"/>
      <c r="NIM24" s="37"/>
      <c r="NIN24" s="37"/>
      <c r="NIO24" s="37"/>
      <c r="NIP24" s="37"/>
      <c r="NIQ24" s="37"/>
      <c r="NIR24" s="37"/>
      <c r="NIS24" s="37"/>
      <c r="NIT24" s="37"/>
      <c r="NIU24" s="37"/>
      <c r="NIV24" s="37"/>
      <c r="NIW24" s="37"/>
      <c r="NIX24" s="37"/>
      <c r="NIY24" s="37"/>
      <c r="NIZ24" s="37"/>
      <c r="NJA24" s="37"/>
      <c r="NJB24" s="37"/>
      <c r="NJC24" s="37"/>
      <c r="NJD24" s="37"/>
      <c r="NJE24" s="37"/>
      <c r="NJF24" s="37"/>
      <c r="NJG24" s="37"/>
      <c r="NJH24" s="37"/>
      <c r="NJI24" s="37"/>
      <c r="NJJ24" s="37"/>
      <c r="NJK24" s="37"/>
      <c r="NJL24" s="37"/>
      <c r="NJM24" s="37"/>
      <c r="NJN24" s="37"/>
      <c r="NJO24" s="37"/>
      <c r="NJP24" s="37"/>
      <c r="NJQ24" s="37"/>
      <c r="NJR24" s="37"/>
      <c r="NJS24" s="37"/>
      <c r="NJT24" s="37"/>
      <c r="NJU24" s="37"/>
      <c r="NJV24" s="37"/>
      <c r="NJW24" s="37"/>
      <c r="NJX24" s="37"/>
      <c r="NJY24" s="37"/>
      <c r="NJZ24" s="37"/>
      <c r="NKA24" s="37"/>
      <c r="NKB24" s="37"/>
      <c r="NKC24" s="37"/>
      <c r="NKD24" s="37"/>
      <c r="NKE24" s="37"/>
      <c r="NKF24" s="37"/>
      <c r="NKG24" s="37"/>
      <c r="NKH24" s="37"/>
      <c r="NKI24" s="37"/>
      <c r="NKJ24" s="37"/>
      <c r="NKK24" s="37"/>
      <c r="NKL24" s="37"/>
      <c r="NKM24" s="37"/>
      <c r="NKN24" s="37"/>
      <c r="NKO24" s="37"/>
      <c r="NKP24" s="37"/>
      <c r="NKQ24" s="37"/>
      <c r="NKR24" s="37"/>
      <c r="NKS24" s="37"/>
      <c r="NKT24" s="37"/>
      <c r="NKU24" s="37"/>
      <c r="NKV24" s="37"/>
      <c r="NKW24" s="37"/>
      <c r="NKX24" s="37"/>
      <c r="NKY24" s="37"/>
      <c r="NKZ24" s="37"/>
      <c r="NLA24" s="37"/>
      <c r="NLB24" s="37"/>
      <c r="NLC24" s="37"/>
      <c r="NLD24" s="37"/>
      <c r="NLE24" s="37"/>
      <c r="NLF24" s="37"/>
      <c r="NLG24" s="37"/>
      <c r="NLH24" s="37"/>
      <c r="NLI24" s="37"/>
      <c r="NLJ24" s="37"/>
      <c r="NLK24" s="37"/>
      <c r="NLL24" s="37"/>
      <c r="NLM24" s="37"/>
      <c r="NLN24" s="37"/>
      <c r="NLO24" s="37"/>
      <c r="NLP24" s="37"/>
      <c r="NLQ24" s="37"/>
      <c r="NLR24" s="37"/>
      <c r="NLS24" s="37"/>
      <c r="NLT24" s="37"/>
      <c r="NLU24" s="37"/>
      <c r="NLV24" s="37"/>
      <c r="NLW24" s="37"/>
      <c r="NLX24" s="37"/>
      <c r="NLY24" s="37"/>
      <c r="NLZ24" s="37"/>
      <c r="NMA24" s="37"/>
      <c r="NMB24" s="37"/>
      <c r="NMC24" s="37"/>
      <c r="NMD24" s="37"/>
      <c r="NME24" s="37"/>
      <c r="NMF24" s="37"/>
      <c r="NMG24" s="37"/>
      <c r="NMH24" s="37"/>
      <c r="NMI24" s="37"/>
      <c r="NMJ24" s="37"/>
      <c r="NMK24" s="37"/>
      <c r="NML24" s="37"/>
      <c r="NMM24" s="37"/>
      <c r="NMN24" s="37"/>
      <c r="NMO24" s="37"/>
      <c r="NMP24" s="37"/>
      <c r="NMQ24" s="37"/>
      <c r="NMR24" s="37"/>
      <c r="NMS24" s="37"/>
      <c r="NMT24" s="37"/>
      <c r="NMU24" s="37"/>
      <c r="NMV24" s="37"/>
      <c r="NMW24" s="37"/>
      <c r="NMX24" s="37"/>
      <c r="NMY24" s="37"/>
      <c r="NMZ24" s="37"/>
      <c r="NNA24" s="37"/>
      <c r="NNB24" s="37"/>
      <c r="NNC24" s="37"/>
      <c r="NND24" s="37"/>
      <c r="NNE24" s="37"/>
      <c r="NNF24" s="37"/>
      <c r="NNG24" s="37"/>
      <c r="NNH24" s="37"/>
      <c r="NNI24" s="37"/>
      <c r="NNJ24" s="37"/>
      <c r="NNK24" s="37"/>
      <c r="NNL24" s="37"/>
      <c r="NNM24" s="37"/>
      <c r="NNN24" s="37"/>
      <c r="NNO24" s="37"/>
      <c r="NNP24" s="37"/>
      <c r="NNQ24" s="37"/>
      <c r="NNR24" s="37"/>
      <c r="NNS24" s="37"/>
      <c r="NNT24" s="37"/>
      <c r="NNU24" s="37"/>
      <c r="NNV24" s="37"/>
      <c r="NNW24" s="37"/>
      <c r="NNX24" s="37"/>
      <c r="NNY24" s="37"/>
      <c r="NNZ24" s="37"/>
      <c r="NOA24" s="37"/>
      <c r="NOB24" s="37"/>
      <c r="NOC24" s="37"/>
      <c r="NOD24" s="37"/>
      <c r="NOE24" s="37"/>
      <c r="NOF24" s="37"/>
      <c r="NOG24" s="37"/>
      <c r="NOH24" s="37"/>
      <c r="NOI24" s="37"/>
      <c r="NOJ24" s="37"/>
      <c r="NOK24" s="37"/>
      <c r="NOL24" s="37"/>
      <c r="NOM24" s="37"/>
      <c r="NON24" s="37"/>
      <c r="NOO24" s="37"/>
      <c r="NOP24" s="37"/>
      <c r="NOQ24" s="37"/>
      <c r="NOR24" s="37"/>
      <c r="NOS24" s="37"/>
      <c r="NOT24" s="37"/>
      <c r="NOU24" s="37"/>
      <c r="NOV24" s="37"/>
      <c r="NOW24" s="37"/>
      <c r="NOX24" s="37"/>
      <c r="NOY24" s="37"/>
      <c r="NOZ24" s="37"/>
      <c r="NPA24" s="37"/>
      <c r="NPB24" s="37"/>
      <c r="NPC24" s="37"/>
      <c r="NPD24" s="37"/>
      <c r="NPE24" s="37"/>
      <c r="NPF24" s="37"/>
      <c r="NPG24" s="37"/>
      <c r="NPH24" s="37"/>
      <c r="NPI24" s="37"/>
      <c r="NPJ24" s="37"/>
      <c r="NPK24" s="37"/>
      <c r="NPL24" s="37"/>
      <c r="NPM24" s="37"/>
      <c r="NPN24" s="37"/>
      <c r="NPO24" s="37"/>
      <c r="NPP24" s="37"/>
      <c r="NPQ24" s="37"/>
      <c r="NPR24" s="37"/>
      <c r="NPS24" s="37"/>
      <c r="NPT24" s="37"/>
      <c r="NPU24" s="37"/>
      <c r="NPV24" s="37"/>
      <c r="NPW24" s="37"/>
      <c r="NPX24" s="37"/>
      <c r="NPY24" s="37"/>
      <c r="NPZ24" s="37"/>
      <c r="NQA24" s="37"/>
      <c r="NQB24" s="37"/>
      <c r="NQC24" s="37"/>
      <c r="NQD24" s="37"/>
      <c r="NQE24" s="37"/>
      <c r="NQF24" s="37"/>
      <c r="NQG24" s="37"/>
      <c r="NQH24" s="37"/>
      <c r="NQI24" s="37"/>
      <c r="NQJ24" s="37"/>
      <c r="NQK24" s="37"/>
      <c r="NQL24" s="37"/>
      <c r="NQM24" s="37"/>
      <c r="NQN24" s="37"/>
      <c r="NQO24" s="37"/>
      <c r="NQP24" s="37"/>
      <c r="NQQ24" s="37"/>
      <c r="NQR24" s="37"/>
      <c r="NQS24" s="37"/>
      <c r="NQT24" s="37"/>
      <c r="NQU24" s="37"/>
      <c r="NQV24" s="37"/>
      <c r="NQW24" s="37"/>
      <c r="NQX24" s="37"/>
      <c r="NQY24" s="37"/>
      <c r="NQZ24" s="37"/>
      <c r="NRA24" s="37"/>
      <c r="NRB24" s="37"/>
      <c r="NRC24" s="37"/>
      <c r="NRD24" s="37"/>
      <c r="NRE24" s="37"/>
      <c r="NRF24" s="37"/>
      <c r="NRG24" s="37"/>
      <c r="NRH24" s="37"/>
      <c r="NRI24" s="37"/>
      <c r="NRJ24" s="37"/>
      <c r="NRK24" s="37"/>
      <c r="NRL24" s="37"/>
      <c r="NRM24" s="37"/>
      <c r="NRN24" s="37"/>
      <c r="NRO24" s="37"/>
      <c r="NRP24" s="37"/>
      <c r="NRQ24" s="37"/>
      <c r="NRR24" s="37"/>
      <c r="NRS24" s="37"/>
      <c r="NRT24" s="37"/>
      <c r="NRU24" s="37"/>
      <c r="NRV24" s="37"/>
      <c r="NRW24" s="37"/>
      <c r="NRX24" s="37"/>
      <c r="NRY24" s="37"/>
      <c r="NRZ24" s="37"/>
      <c r="NSA24" s="37"/>
      <c r="NSB24" s="37"/>
      <c r="NSC24" s="37"/>
      <c r="NSD24" s="37"/>
      <c r="NSE24" s="37"/>
      <c r="NSF24" s="37"/>
      <c r="NSG24" s="37"/>
      <c r="NSH24" s="37"/>
      <c r="NSI24" s="37"/>
      <c r="NSJ24" s="37"/>
      <c r="NSK24" s="37"/>
      <c r="NSL24" s="37"/>
      <c r="NSM24" s="37"/>
      <c r="NSN24" s="37"/>
      <c r="NSO24" s="37"/>
      <c r="NSP24" s="37"/>
      <c r="NSQ24" s="37"/>
      <c r="NSR24" s="37"/>
      <c r="NSS24" s="37"/>
      <c r="NST24" s="37"/>
      <c r="NSU24" s="37"/>
      <c r="NSV24" s="37"/>
      <c r="NSW24" s="37"/>
      <c r="NSX24" s="37"/>
      <c r="NSY24" s="37"/>
      <c r="NSZ24" s="37"/>
      <c r="NTA24" s="37"/>
      <c r="NTB24" s="37"/>
      <c r="NTC24" s="37"/>
      <c r="NTD24" s="37"/>
      <c r="NTE24" s="37"/>
      <c r="NTF24" s="37"/>
      <c r="NTG24" s="37"/>
      <c r="NTH24" s="37"/>
      <c r="NTI24" s="37"/>
      <c r="NTJ24" s="37"/>
      <c r="NTK24" s="37"/>
      <c r="NTL24" s="37"/>
      <c r="NTM24" s="37"/>
      <c r="NTN24" s="37"/>
      <c r="NTO24" s="37"/>
      <c r="NTP24" s="37"/>
      <c r="NTQ24" s="37"/>
      <c r="NTR24" s="37"/>
      <c r="NTS24" s="37"/>
      <c r="NTT24" s="37"/>
      <c r="NTU24" s="37"/>
      <c r="NTV24" s="37"/>
      <c r="NTW24" s="37"/>
      <c r="NTX24" s="37"/>
      <c r="NTY24" s="37"/>
      <c r="NTZ24" s="37"/>
      <c r="NUA24" s="37"/>
      <c r="NUB24" s="37"/>
      <c r="NUC24" s="37"/>
      <c r="NUD24" s="37"/>
      <c r="NUE24" s="37"/>
      <c r="NUF24" s="37"/>
      <c r="NUG24" s="37"/>
      <c r="NUH24" s="37"/>
      <c r="NUI24" s="37"/>
      <c r="NUJ24" s="37"/>
      <c r="NUK24" s="37"/>
      <c r="NUL24" s="37"/>
      <c r="NUM24" s="37"/>
      <c r="NUN24" s="37"/>
      <c r="NUO24" s="37"/>
      <c r="NUP24" s="37"/>
      <c r="NUQ24" s="37"/>
      <c r="NUR24" s="37"/>
      <c r="NUS24" s="37"/>
      <c r="NUT24" s="37"/>
      <c r="NUU24" s="37"/>
      <c r="NUV24" s="37"/>
      <c r="NUW24" s="37"/>
      <c r="NUX24" s="37"/>
      <c r="NUY24" s="37"/>
      <c r="NUZ24" s="37"/>
      <c r="NVA24" s="37"/>
      <c r="NVB24" s="37"/>
      <c r="NVC24" s="37"/>
      <c r="NVD24" s="37"/>
      <c r="NVE24" s="37"/>
      <c r="NVF24" s="37"/>
      <c r="NVG24" s="37"/>
      <c r="NVH24" s="37"/>
      <c r="NVI24" s="37"/>
      <c r="NVJ24" s="37"/>
      <c r="NVK24" s="37"/>
      <c r="NVL24" s="37"/>
      <c r="NVM24" s="37"/>
      <c r="NVN24" s="37"/>
      <c r="NVO24" s="37"/>
      <c r="NVP24" s="37"/>
      <c r="NVQ24" s="37"/>
      <c r="NVR24" s="37"/>
      <c r="NVS24" s="37"/>
      <c r="NVT24" s="37"/>
      <c r="NVU24" s="37"/>
      <c r="NVV24" s="37"/>
      <c r="NVW24" s="37"/>
      <c r="NVX24" s="37"/>
      <c r="NVY24" s="37"/>
      <c r="NVZ24" s="37"/>
      <c r="NWA24" s="37"/>
      <c r="NWB24" s="37"/>
      <c r="NWC24" s="37"/>
      <c r="NWD24" s="37"/>
      <c r="NWE24" s="37"/>
      <c r="NWF24" s="37"/>
      <c r="NWG24" s="37"/>
      <c r="NWH24" s="37"/>
      <c r="NWI24" s="37"/>
      <c r="NWJ24" s="37"/>
      <c r="NWK24" s="37"/>
      <c r="NWL24" s="37"/>
      <c r="NWM24" s="37"/>
      <c r="NWN24" s="37"/>
      <c r="NWO24" s="37"/>
      <c r="NWP24" s="37"/>
      <c r="NWQ24" s="37"/>
      <c r="NWR24" s="37"/>
      <c r="NWS24" s="37"/>
      <c r="NWT24" s="37"/>
      <c r="NWU24" s="37"/>
      <c r="NWV24" s="37"/>
      <c r="NWW24" s="37"/>
      <c r="NWX24" s="37"/>
      <c r="NWY24" s="37"/>
      <c r="NWZ24" s="37"/>
      <c r="NXA24" s="37"/>
      <c r="NXB24" s="37"/>
      <c r="NXC24" s="37"/>
      <c r="NXD24" s="37"/>
      <c r="NXE24" s="37"/>
      <c r="NXF24" s="37"/>
      <c r="NXG24" s="37"/>
      <c r="NXH24" s="37"/>
      <c r="NXI24" s="37"/>
      <c r="NXJ24" s="37"/>
      <c r="NXK24" s="37"/>
      <c r="NXL24" s="37"/>
      <c r="NXM24" s="37"/>
      <c r="NXN24" s="37"/>
      <c r="NXO24" s="37"/>
      <c r="NXP24" s="37"/>
      <c r="NXQ24" s="37"/>
      <c r="NXR24" s="37"/>
      <c r="NXS24" s="37"/>
      <c r="NXT24" s="37"/>
      <c r="NXU24" s="37"/>
      <c r="NXV24" s="37"/>
      <c r="NXW24" s="37"/>
      <c r="NXX24" s="37"/>
      <c r="NXY24" s="37"/>
      <c r="NXZ24" s="37"/>
      <c r="NYA24" s="37"/>
      <c r="NYB24" s="37"/>
      <c r="NYC24" s="37"/>
      <c r="NYD24" s="37"/>
      <c r="NYE24" s="37"/>
      <c r="NYF24" s="37"/>
      <c r="NYG24" s="37"/>
      <c r="NYH24" s="37"/>
      <c r="NYI24" s="37"/>
      <c r="NYJ24" s="37"/>
      <c r="NYK24" s="37"/>
      <c r="NYL24" s="37"/>
      <c r="NYM24" s="37"/>
      <c r="NYN24" s="37"/>
      <c r="NYO24" s="37"/>
      <c r="NYP24" s="37"/>
      <c r="NYQ24" s="37"/>
      <c r="NYR24" s="37"/>
      <c r="NYS24" s="37"/>
      <c r="NYT24" s="37"/>
      <c r="NYU24" s="37"/>
      <c r="NYV24" s="37"/>
      <c r="NYW24" s="37"/>
      <c r="NYX24" s="37"/>
      <c r="NYY24" s="37"/>
      <c r="NYZ24" s="37"/>
      <c r="NZA24" s="37"/>
      <c r="NZB24" s="37"/>
      <c r="NZC24" s="37"/>
      <c r="NZD24" s="37"/>
      <c r="NZE24" s="37"/>
      <c r="NZF24" s="37"/>
      <c r="NZG24" s="37"/>
      <c r="NZH24" s="37"/>
      <c r="NZI24" s="37"/>
      <c r="NZJ24" s="37"/>
      <c r="NZK24" s="37"/>
      <c r="NZL24" s="37"/>
      <c r="NZM24" s="37"/>
      <c r="NZN24" s="37"/>
      <c r="NZO24" s="37"/>
      <c r="NZP24" s="37"/>
      <c r="NZQ24" s="37"/>
      <c r="NZR24" s="37"/>
      <c r="NZS24" s="37"/>
      <c r="NZT24" s="37"/>
      <c r="NZU24" s="37"/>
      <c r="NZV24" s="37"/>
      <c r="NZW24" s="37"/>
      <c r="NZX24" s="37"/>
      <c r="NZY24" s="37"/>
      <c r="NZZ24" s="37"/>
      <c r="OAA24" s="37"/>
      <c r="OAB24" s="37"/>
      <c r="OAC24" s="37"/>
      <c r="OAD24" s="37"/>
      <c r="OAE24" s="37"/>
      <c r="OAF24" s="37"/>
      <c r="OAG24" s="37"/>
      <c r="OAH24" s="37"/>
      <c r="OAI24" s="37"/>
      <c r="OAJ24" s="37"/>
      <c r="OAK24" s="37"/>
      <c r="OAL24" s="37"/>
      <c r="OAM24" s="37"/>
      <c r="OAN24" s="37"/>
      <c r="OAO24" s="37"/>
      <c r="OAP24" s="37"/>
      <c r="OAQ24" s="37"/>
      <c r="OAR24" s="37"/>
      <c r="OAS24" s="37"/>
      <c r="OAT24" s="37"/>
      <c r="OAU24" s="37"/>
      <c r="OAV24" s="37"/>
      <c r="OAW24" s="37"/>
      <c r="OAX24" s="37"/>
      <c r="OAY24" s="37"/>
      <c r="OAZ24" s="37"/>
      <c r="OBA24" s="37"/>
      <c r="OBB24" s="37"/>
      <c r="OBC24" s="37"/>
      <c r="OBD24" s="37"/>
      <c r="OBE24" s="37"/>
      <c r="OBF24" s="37"/>
      <c r="OBG24" s="37"/>
      <c r="OBH24" s="37"/>
      <c r="OBI24" s="37"/>
      <c r="OBJ24" s="37"/>
      <c r="OBK24" s="37"/>
      <c r="OBL24" s="37"/>
      <c r="OBM24" s="37"/>
      <c r="OBN24" s="37"/>
      <c r="OBO24" s="37"/>
      <c r="OBP24" s="37"/>
      <c r="OBQ24" s="37"/>
      <c r="OBR24" s="37"/>
      <c r="OBS24" s="37"/>
      <c r="OBT24" s="37"/>
      <c r="OBU24" s="37"/>
      <c r="OBV24" s="37"/>
      <c r="OBW24" s="37"/>
      <c r="OBX24" s="37"/>
      <c r="OBY24" s="37"/>
      <c r="OBZ24" s="37"/>
      <c r="OCA24" s="37"/>
      <c r="OCB24" s="37"/>
      <c r="OCC24" s="37"/>
      <c r="OCD24" s="37"/>
      <c r="OCE24" s="37"/>
      <c r="OCF24" s="37"/>
      <c r="OCG24" s="37"/>
      <c r="OCH24" s="37"/>
      <c r="OCI24" s="37"/>
      <c r="OCJ24" s="37"/>
      <c r="OCK24" s="37"/>
      <c r="OCL24" s="37"/>
      <c r="OCM24" s="37"/>
      <c r="OCN24" s="37"/>
      <c r="OCO24" s="37"/>
      <c r="OCP24" s="37"/>
      <c r="OCQ24" s="37"/>
      <c r="OCR24" s="37"/>
      <c r="OCS24" s="37"/>
      <c r="OCT24" s="37"/>
      <c r="OCU24" s="37"/>
      <c r="OCV24" s="37"/>
      <c r="OCW24" s="37"/>
      <c r="OCX24" s="37"/>
      <c r="OCY24" s="37"/>
      <c r="OCZ24" s="37"/>
      <c r="ODA24" s="37"/>
      <c r="ODB24" s="37"/>
      <c r="ODC24" s="37"/>
      <c r="ODD24" s="37"/>
      <c r="ODE24" s="37"/>
      <c r="ODF24" s="37"/>
      <c r="ODG24" s="37"/>
      <c r="ODH24" s="37"/>
      <c r="ODI24" s="37"/>
      <c r="ODJ24" s="37"/>
      <c r="ODK24" s="37"/>
      <c r="ODL24" s="37"/>
      <c r="ODM24" s="37"/>
      <c r="ODN24" s="37"/>
      <c r="ODO24" s="37"/>
      <c r="ODP24" s="37"/>
      <c r="ODQ24" s="37"/>
      <c r="ODR24" s="37"/>
      <c r="ODS24" s="37"/>
      <c r="ODT24" s="37"/>
      <c r="ODU24" s="37"/>
      <c r="ODV24" s="37"/>
      <c r="ODW24" s="37"/>
      <c r="ODX24" s="37"/>
      <c r="ODY24" s="37"/>
      <c r="ODZ24" s="37"/>
      <c r="OEA24" s="37"/>
      <c r="OEB24" s="37"/>
      <c r="OEC24" s="37"/>
      <c r="OED24" s="37"/>
      <c r="OEE24" s="37"/>
      <c r="OEF24" s="37"/>
      <c r="OEG24" s="37"/>
      <c r="OEH24" s="37"/>
      <c r="OEI24" s="37"/>
      <c r="OEJ24" s="37"/>
      <c r="OEK24" s="37"/>
      <c r="OEL24" s="37"/>
      <c r="OEM24" s="37"/>
      <c r="OEN24" s="37"/>
      <c r="OEO24" s="37"/>
      <c r="OEP24" s="37"/>
      <c r="OEQ24" s="37"/>
      <c r="OER24" s="37"/>
      <c r="OES24" s="37"/>
      <c r="OET24" s="37"/>
      <c r="OEU24" s="37"/>
      <c r="OEV24" s="37"/>
      <c r="OEW24" s="37"/>
      <c r="OEX24" s="37"/>
      <c r="OEY24" s="37"/>
      <c r="OEZ24" s="37"/>
      <c r="OFA24" s="37"/>
      <c r="OFB24" s="37"/>
      <c r="OFC24" s="37"/>
      <c r="OFD24" s="37"/>
      <c r="OFE24" s="37"/>
      <c r="OFF24" s="37"/>
      <c r="OFG24" s="37"/>
      <c r="OFH24" s="37"/>
      <c r="OFI24" s="37"/>
      <c r="OFJ24" s="37"/>
      <c r="OFK24" s="37"/>
      <c r="OFL24" s="37"/>
      <c r="OFM24" s="37"/>
      <c r="OFN24" s="37"/>
      <c r="OFO24" s="37"/>
      <c r="OFP24" s="37"/>
      <c r="OFQ24" s="37"/>
      <c r="OFR24" s="37"/>
      <c r="OFS24" s="37"/>
      <c r="OFT24" s="37"/>
      <c r="OFU24" s="37"/>
      <c r="OFV24" s="37"/>
      <c r="OFW24" s="37"/>
      <c r="OFX24" s="37"/>
      <c r="OFY24" s="37"/>
      <c r="OFZ24" s="37"/>
      <c r="OGA24" s="37"/>
      <c r="OGB24" s="37"/>
      <c r="OGC24" s="37"/>
      <c r="OGD24" s="37"/>
      <c r="OGE24" s="37"/>
      <c r="OGF24" s="37"/>
      <c r="OGG24" s="37"/>
      <c r="OGH24" s="37"/>
      <c r="OGI24" s="37"/>
      <c r="OGJ24" s="37"/>
      <c r="OGK24" s="37"/>
      <c r="OGL24" s="37"/>
      <c r="OGM24" s="37"/>
      <c r="OGN24" s="37"/>
      <c r="OGO24" s="37"/>
      <c r="OGP24" s="37"/>
      <c r="OGQ24" s="37"/>
      <c r="OGR24" s="37"/>
      <c r="OGS24" s="37"/>
      <c r="OGT24" s="37"/>
      <c r="OGU24" s="37"/>
      <c r="OGV24" s="37"/>
      <c r="OGW24" s="37"/>
      <c r="OGX24" s="37"/>
      <c r="OGY24" s="37"/>
      <c r="OGZ24" s="37"/>
      <c r="OHA24" s="37"/>
      <c r="OHB24" s="37"/>
      <c r="OHC24" s="37"/>
      <c r="OHD24" s="37"/>
      <c r="OHE24" s="37"/>
      <c r="OHF24" s="37"/>
      <c r="OHG24" s="37"/>
      <c r="OHH24" s="37"/>
      <c r="OHI24" s="37"/>
      <c r="OHJ24" s="37"/>
      <c r="OHK24" s="37"/>
      <c r="OHL24" s="37"/>
      <c r="OHM24" s="37"/>
      <c r="OHN24" s="37"/>
      <c r="OHO24" s="37"/>
      <c r="OHP24" s="37"/>
      <c r="OHQ24" s="37"/>
      <c r="OHR24" s="37"/>
      <c r="OHS24" s="37"/>
      <c r="OHT24" s="37"/>
      <c r="OHU24" s="37"/>
      <c r="OHV24" s="37"/>
      <c r="OHW24" s="37"/>
      <c r="OHX24" s="37"/>
      <c r="OHY24" s="37"/>
      <c r="OHZ24" s="37"/>
      <c r="OIA24" s="37"/>
      <c r="OIB24" s="37"/>
      <c r="OIC24" s="37"/>
      <c r="OID24" s="37"/>
      <c r="OIE24" s="37"/>
      <c r="OIF24" s="37"/>
      <c r="OIG24" s="37"/>
      <c r="OIH24" s="37"/>
      <c r="OII24" s="37"/>
      <c r="OIJ24" s="37"/>
      <c r="OIK24" s="37"/>
      <c r="OIL24" s="37"/>
      <c r="OIM24" s="37"/>
      <c r="OIN24" s="37"/>
      <c r="OIO24" s="37"/>
      <c r="OIP24" s="37"/>
      <c r="OIQ24" s="37"/>
      <c r="OIR24" s="37"/>
      <c r="OIS24" s="37"/>
      <c r="OIT24" s="37"/>
      <c r="OIU24" s="37"/>
      <c r="OIV24" s="37"/>
      <c r="OIW24" s="37"/>
      <c r="OIX24" s="37"/>
      <c r="OIY24" s="37"/>
      <c r="OIZ24" s="37"/>
      <c r="OJA24" s="37"/>
      <c r="OJB24" s="37"/>
      <c r="OJC24" s="37"/>
      <c r="OJD24" s="37"/>
      <c r="OJE24" s="37"/>
      <c r="OJF24" s="37"/>
      <c r="OJG24" s="37"/>
      <c r="OJH24" s="37"/>
      <c r="OJI24" s="37"/>
      <c r="OJJ24" s="37"/>
      <c r="OJK24" s="37"/>
      <c r="OJL24" s="37"/>
      <c r="OJM24" s="37"/>
      <c r="OJN24" s="37"/>
      <c r="OJO24" s="37"/>
      <c r="OJP24" s="37"/>
      <c r="OJQ24" s="37"/>
      <c r="OJR24" s="37"/>
      <c r="OJS24" s="37"/>
      <c r="OJT24" s="37"/>
      <c r="OJU24" s="37"/>
      <c r="OJV24" s="37"/>
      <c r="OJW24" s="37"/>
      <c r="OJX24" s="37"/>
      <c r="OJY24" s="37"/>
      <c r="OJZ24" s="37"/>
      <c r="OKA24" s="37"/>
      <c r="OKB24" s="37"/>
      <c r="OKC24" s="37"/>
      <c r="OKD24" s="37"/>
      <c r="OKE24" s="37"/>
      <c r="OKF24" s="37"/>
      <c r="OKG24" s="37"/>
      <c r="OKH24" s="37"/>
      <c r="OKI24" s="37"/>
      <c r="OKJ24" s="37"/>
      <c r="OKK24" s="37"/>
      <c r="OKL24" s="37"/>
      <c r="OKM24" s="37"/>
      <c r="OKN24" s="37"/>
      <c r="OKO24" s="37"/>
      <c r="OKP24" s="37"/>
      <c r="OKQ24" s="37"/>
      <c r="OKR24" s="37"/>
      <c r="OKS24" s="37"/>
      <c r="OKT24" s="37"/>
      <c r="OKU24" s="37"/>
      <c r="OKV24" s="37"/>
      <c r="OKW24" s="37"/>
      <c r="OKX24" s="37"/>
      <c r="OKY24" s="37"/>
      <c r="OKZ24" s="37"/>
      <c r="OLA24" s="37"/>
      <c r="OLB24" s="37"/>
      <c r="OLC24" s="37"/>
      <c r="OLD24" s="37"/>
      <c r="OLE24" s="37"/>
      <c r="OLF24" s="37"/>
      <c r="OLG24" s="37"/>
      <c r="OLH24" s="37"/>
      <c r="OLI24" s="37"/>
      <c r="OLJ24" s="37"/>
      <c r="OLK24" s="37"/>
      <c r="OLL24" s="37"/>
      <c r="OLM24" s="37"/>
      <c r="OLN24" s="37"/>
      <c r="OLO24" s="37"/>
      <c r="OLP24" s="37"/>
      <c r="OLQ24" s="37"/>
      <c r="OLR24" s="37"/>
      <c r="OLS24" s="37"/>
      <c r="OLT24" s="37"/>
      <c r="OLU24" s="37"/>
      <c r="OLV24" s="37"/>
      <c r="OLW24" s="37"/>
      <c r="OLX24" s="37"/>
      <c r="OLY24" s="37"/>
      <c r="OLZ24" s="37"/>
      <c r="OMA24" s="37"/>
      <c r="OMB24" s="37"/>
      <c r="OMC24" s="37"/>
      <c r="OMD24" s="37"/>
      <c r="OME24" s="37"/>
      <c r="OMF24" s="37"/>
      <c r="OMG24" s="37"/>
      <c r="OMH24" s="37"/>
      <c r="OMI24" s="37"/>
      <c r="OMJ24" s="37"/>
      <c r="OMK24" s="37"/>
      <c r="OML24" s="37"/>
      <c r="OMM24" s="37"/>
      <c r="OMN24" s="37"/>
      <c r="OMO24" s="37"/>
      <c r="OMP24" s="37"/>
      <c r="OMQ24" s="37"/>
      <c r="OMR24" s="37"/>
      <c r="OMS24" s="37"/>
      <c r="OMT24" s="37"/>
      <c r="OMU24" s="37"/>
      <c r="OMV24" s="37"/>
      <c r="OMW24" s="37"/>
      <c r="OMX24" s="37"/>
      <c r="OMY24" s="37"/>
      <c r="OMZ24" s="37"/>
      <c r="ONA24" s="37"/>
      <c r="ONB24" s="37"/>
      <c r="ONC24" s="37"/>
      <c r="OND24" s="37"/>
      <c r="ONE24" s="37"/>
      <c r="ONF24" s="37"/>
      <c r="ONG24" s="37"/>
      <c r="ONH24" s="37"/>
      <c r="ONI24" s="37"/>
      <c r="ONJ24" s="37"/>
      <c r="ONK24" s="37"/>
      <c r="ONL24" s="37"/>
      <c r="ONM24" s="37"/>
      <c r="ONN24" s="37"/>
      <c r="ONO24" s="37"/>
      <c r="ONP24" s="37"/>
      <c r="ONQ24" s="37"/>
      <c r="ONR24" s="37"/>
      <c r="ONS24" s="37"/>
      <c r="ONT24" s="37"/>
      <c r="ONU24" s="37"/>
      <c r="ONV24" s="37"/>
      <c r="ONW24" s="37"/>
      <c r="ONX24" s="37"/>
      <c r="ONY24" s="37"/>
      <c r="ONZ24" s="37"/>
      <c r="OOA24" s="37"/>
      <c r="OOB24" s="37"/>
      <c r="OOC24" s="37"/>
      <c r="OOD24" s="37"/>
      <c r="OOE24" s="37"/>
      <c r="OOF24" s="37"/>
      <c r="OOG24" s="37"/>
      <c r="OOH24" s="37"/>
      <c r="OOI24" s="37"/>
      <c r="OOJ24" s="37"/>
      <c r="OOK24" s="37"/>
      <c r="OOL24" s="37"/>
      <c r="OOM24" s="37"/>
      <c r="OON24" s="37"/>
      <c r="OOO24" s="37"/>
      <c r="OOP24" s="37"/>
      <c r="OOQ24" s="37"/>
      <c r="OOR24" s="37"/>
      <c r="OOS24" s="37"/>
      <c r="OOT24" s="37"/>
      <c r="OOU24" s="37"/>
      <c r="OOV24" s="37"/>
      <c r="OOW24" s="37"/>
      <c r="OOX24" s="37"/>
      <c r="OOY24" s="37"/>
      <c r="OOZ24" s="37"/>
      <c r="OPA24" s="37"/>
      <c r="OPB24" s="37"/>
      <c r="OPC24" s="37"/>
      <c r="OPD24" s="37"/>
      <c r="OPE24" s="37"/>
      <c r="OPF24" s="37"/>
      <c r="OPG24" s="37"/>
      <c r="OPH24" s="37"/>
      <c r="OPI24" s="37"/>
      <c r="OPJ24" s="37"/>
      <c r="OPK24" s="37"/>
      <c r="OPL24" s="37"/>
      <c r="OPM24" s="37"/>
      <c r="OPN24" s="37"/>
      <c r="OPO24" s="37"/>
      <c r="OPP24" s="37"/>
      <c r="OPQ24" s="37"/>
      <c r="OPR24" s="37"/>
      <c r="OPS24" s="37"/>
      <c r="OPT24" s="37"/>
      <c r="OPU24" s="37"/>
      <c r="OPV24" s="37"/>
      <c r="OPW24" s="37"/>
      <c r="OPX24" s="37"/>
      <c r="OPY24" s="37"/>
      <c r="OPZ24" s="37"/>
      <c r="OQA24" s="37"/>
      <c r="OQB24" s="37"/>
      <c r="OQC24" s="37"/>
      <c r="OQD24" s="37"/>
      <c r="OQE24" s="37"/>
      <c r="OQF24" s="37"/>
      <c r="OQG24" s="37"/>
      <c r="OQH24" s="37"/>
      <c r="OQI24" s="37"/>
      <c r="OQJ24" s="37"/>
      <c r="OQK24" s="37"/>
      <c r="OQL24" s="37"/>
      <c r="OQM24" s="37"/>
      <c r="OQN24" s="37"/>
      <c r="OQO24" s="37"/>
      <c r="OQP24" s="37"/>
      <c r="OQQ24" s="37"/>
      <c r="OQR24" s="37"/>
      <c r="OQS24" s="37"/>
      <c r="OQT24" s="37"/>
      <c r="OQU24" s="37"/>
      <c r="OQV24" s="37"/>
      <c r="OQW24" s="37"/>
      <c r="OQX24" s="37"/>
      <c r="OQY24" s="37"/>
      <c r="OQZ24" s="37"/>
      <c r="ORA24" s="37"/>
      <c r="ORB24" s="37"/>
      <c r="ORC24" s="37"/>
      <c r="ORD24" s="37"/>
      <c r="ORE24" s="37"/>
      <c r="ORF24" s="37"/>
      <c r="ORG24" s="37"/>
      <c r="ORH24" s="37"/>
      <c r="ORI24" s="37"/>
      <c r="ORJ24" s="37"/>
      <c r="ORK24" s="37"/>
      <c r="ORL24" s="37"/>
      <c r="ORM24" s="37"/>
      <c r="ORN24" s="37"/>
      <c r="ORO24" s="37"/>
      <c r="ORP24" s="37"/>
      <c r="ORQ24" s="37"/>
      <c r="ORR24" s="37"/>
      <c r="ORS24" s="37"/>
      <c r="ORT24" s="37"/>
      <c r="ORU24" s="37"/>
      <c r="ORV24" s="37"/>
      <c r="ORW24" s="37"/>
      <c r="ORX24" s="37"/>
      <c r="ORY24" s="37"/>
      <c r="ORZ24" s="37"/>
      <c r="OSA24" s="37"/>
      <c r="OSB24" s="37"/>
      <c r="OSC24" s="37"/>
      <c r="OSD24" s="37"/>
      <c r="OSE24" s="37"/>
      <c r="OSF24" s="37"/>
      <c r="OSG24" s="37"/>
      <c r="OSH24" s="37"/>
      <c r="OSI24" s="37"/>
      <c r="OSJ24" s="37"/>
      <c r="OSK24" s="37"/>
      <c r="OSL24" s="37"/>
      <c r="OSM24" s="37"/>
      <c r="OSN24" s="37"/>
      <c r="OSO24" s="37"/>
      <c r="OSP24" s="37"/>
      <c r="OSQ24" s="37"/>
      <c r="OSR24" s="37"/>
      <c r="OSS24" s="37"/>
      <c r="OST24" s="37"/>
      <c r="OSU24" s="37"/>
      <c r="OSV24" s="37"/>
      <c r="OSW24" s="37"/>
      <c r="OSX24" s="37"/>
      <c r="OSY24" s="37"/>
      <c r="OSZ24" s="37"/>
      <c r="OTA24" s="37"/>
      <c r="OTB24" s="37"/>
      <c r="OTC24" s="37"/>
      <c r="OTD24" s="37"/>
      <c r="OTE24" s="37"/>
      <c r="OTF24" s="37"/>
      <c r="OTG24" s="37"/>
      <c r="OTH24" s="37"/>
      <c r="OTI24" s="37"/>
      <c r="OTJ24" s="37"/>
      <c r="OTK24" s="37"/>
      <c r="OTL24" s="37"/>
      <c r="OTM24" s="37"/>
      <c r="OTN24" s="37"/>
      <c r="OTO24" s="37"/>
      <c r="OTP24" s="37"/>
      <c r="OTQ24" s="37"/>
      <c r="OTR24" s="37"/>
      <c r="OTS24" s="37"/>
      <c r="OTT24" s="37"/>
      <c r="OTU24" s="37"/>
      <c r="OTV24" s="37"/>
      <c r="OTW24" s="37"/>
      <c r="OTX24" s="37"/>
      <c r="OTY24" s="37"/>
      <c r="OTZ24" s="37"/>
      <c r="OUA24" s="37"/>
      <c r="OUB24" s="37"/>
      <c r="OUC24" s="37"/>
      <c r="OUD24" s="37"/>
      <c r="OUE24" s="37"/>
      <c r="OUF24" s="37"/>
      <c r="OUG24" s="37"/>
      <c r="OUH24" s="37"/>
      <c r="OUI24" s="37"/>
      <c r="OUJ24" s="37"/>
      <c r="OUK24" s="37"/>
      <c r="OUL24" s="37"/>
      <c r="OUM24" s="37"/>
      <c r="OUN24" s="37"/>
      <c r="OUO24" s="37"/>
      <c r="OUP24" s="37"/>
      <c r="OUQ24" s="37"/>
      <c r="OUR24" s="37"/>
      <c r="OUS24" s="37"/>
      <c r="OUT24" s="37"/>
      <c r="OUU24" s="37"/>
      <c r="OUV24" s="37"/>
      <c r="OUW24" s="37"/>
      <c r="OUX24" s="37"/>
      <c r="OUY24" s="37"/>
      <c r="OUZ24" s="37"/>
      <c r="OVA24" s="37"/>
      <c r="OVB24" s="37"/>
      <c r="OVC24" s="37"/>
      <c r="OVD24" s="37"/>
      <c r="OVE24" s="37"/>
      <c r="OVF24" s="37"/>
      <c r="OVG24" s="37"/>
      <c r="OVH24" s="37"/>
      <c r="OVI24" s="37"/>
      <c r="OVJ24" s="37"/>
      <c r="OVK24" s="37"/>
      <c r="OVL24" s="37"/>
      <c r="OVM24" s="37"/>
      <c r="OVN24" s="37"/>
      <c r="OVO24" s="37"/>
      <c r="OVP24" s="37"/>
      <c r="OVQ24" s="37"/>
      <c r="OVR24" s="37"/>
      <c r="OVS24" s="37"/>
      <c r="OVT24" s="37"/>
      <c r="OVU24" s="37"/>
      <c r="OVV24" s="37"/>
      <c r="OVW24" s="37"/>
      <c r="OVX24" s="37"/>
      <c r="OVY24" s="37"/>
      <c r="OVZ24" s="37"/>
      <c r="OWA24" s="37"/>
      <c r="OWB24" s="37"/>
      <c r="OWC24" s="37"/>
      <c r="OWD24" s="37"/>
      <c r="OWE24" s="37"/>
      <c r="OWF24" s="37"/>
      <c r="OWG24" s="37"/>
      <c r="OWH24" s="37"/>
      <c r="OWI24" s="37"/>
      <c r="OWJ24" s="37"/>
      <c r="OWK24" s="37"/>
      <c r="OWL24" s="37"/>
      <c r="OWM24" s="37"/>
      <c r="OWN24" s="37"/>
      <c r="OWO24" s="37"/>
      <c r="OWP24" s="37"/>
      <c r="OWQ24" s="37"/>
      <c r="OWR24" s="37"/>
      <c r="OWS24" s="37"/>
      <c r="OWT24" s="37"/>
      <c r="OWU24" s="37"/>
      <c r="OWV24" s="37"/>
      <c r="OWW24" s="37"/>
      <c r="OWX24" s="37"/>
      <c r="OWY24" s="37"/>
      <c r="OWZ24" s="37"/>
      <c r="OXA24" s="37"/>
      <c r="OXB24" s="37"/>
      <c r="OXC24" s="37"/>
      <c r="OXD24" s="37"/>
      <c r="OXE24" s="37"/>
      <c r="OXF24" s="37"/>
      <c r="OXG24" s="37"/>
      <c r="OXH24" s="37"/>
      <c r="OXI24" s="37"/>
      <c r="OXJ24" s="37"/>
      <c r="OXK24" s="37"/>
      <c r="OXL24" s="37"/>
      <c r="OXM24" s="37"/>
      <c r="OXN24" s="37"/>
      <c r="OXO24" s="37"/>
      <c r="OXP24" s="37"/>
      <c r="OXQ24" s="37"/>
      <c r="OXR24" s="37"/>
      <c r="OXS24" s="37"/>
      <c r="OXT24" s="37"/>
      <c r="OXU24" s="37"/>
      <c r="OXV24" s="37"/>
      <c r="OXW24" s="37"/>
      <c r="OXX24" s="37"/>
      <c r="OXY24" s="37"/>
      <c r="OXZ24" s="37"/>
      <c r="OYA24" s="37"/>
      <c r="OYB24" s="37"/>
      <c r="OYC24" s="37"/>
      <c r="OYD24" s="37"/>
      <c r="OYE24" s="37"/>
      <c r="OYF24" s="37"/>
      <c r="OYG24" s="37"/>
      <c r="OYH24" s="37"/>
      <c r="OYI24" s="37"/>
      <c r="OYJ24" s="37"/>
      <c r="OYK24" s="37"/>
      <c r="OYL24" s="37"/>
      <c r="OYM24" s="37"/>
      <c r="OYN24" s="37"/>
      <c r="OYO24" s="37"/>
      <c r="OYP24" s="37"/>
      <c r="OYQ24" s="37"/>
      <c r="OYR24" s="37"/>
      <c r="OYS24" s="37"/>
      <c r="OYT24" s="37"/>
      <c r="OYU24" s="37"/>
      <c r="OYV24" s="37"/>
      <c r="OYW24" s="37"/>
      <c r="OYX24" s="37"/>
      <c r="OYY24" s="37"/>
      <c r="OYZ24" s="37"/>
      <c r="OZA24" s="37"/>
      <c r="OZB24" s="37"/>
      <c r="OZC24" s="37"/>
      <c r="OZD24" s="37"/>
      <c r="OZE24" s="37"/>
      <c r="OZF24" s="37"/>
      <c r="OZG24" s="37"/>
      <c r="OZH24" s="37"/>
      <c r="OZI24" s="37"/>
      <c r="OZJ24" s="37"/>
      <c r="OZK24" s="37"/>
      <c r="OZL24" s="37"/>
      <c r="OZM24" s="37"/>
      <c r="OZN24" s="37"/>
      <c r="OZO24" s="37"/>
      <c r="OZP24" s="37"/>
      <c r="OZQ24" s="37"/>
      <c r="OZR24" s="37"/>
      <c r="OZS24" s="37"/>
      <c r="OZT24" s="37"/>
      <c r="OZU24" s="37"/>
      <c r="OZV24" s="37"/>
      <c r="OZW24" s="37"/>
      <c r="OZX24" s="37"/>
      <c r="OZY24" s="37"/>
      <c r="OZZ24" s="37"/>
      <c r="PAA24" s="37"/>
      <c r="PAB24" s="37"/>
      <c r="PAC24" s="37"/>
      <c r="PAD24" s="37"/>
      <c r="PAE24" s="37"/>
      <c r="PAF24" s="37"/>
      <c r="PAG24" s="37"/>
      <c r="PAH24" s="37"/>
      <c r="PAI24" s="37"/>
      <c r="PAJ24" s="37"/>
      <c r="PAK24" s="37"/>
      <c r="PAL24" s="37"/>
      <c r="PAM24" s="37"/>
      <c r="PAN24" s="37"/>
      <c r="PAO24" s="37"/>
      <c r="PAP24" s="37"/>
      <c r="PAQ24" s="37"/>
      <c r="PAR24" s="37"/>
      <c r="PAS24" s="37"/>
      <c r="PAT24" s="37"/>
      <c r="PAU24" s="37"/>
      <c r="PAV24" s="37"/>
      <c r="PAW24" s="37"/>
      <c r="PAX24" s="37"/>
      <c r="PAY24" s="37"/>
      <c r="PAZ24" s="37"/>
      <c r="PBA24" s="37"/>
      <c r="PBB24" s="37"/>
      <c r="PBC24" s="37"/>
      <c r="PBD24" s="37"/>
      <c r="PBE24" s="37"/>
      <c r="PBF24" s="37"/>
      <c r="PBG24" s="37"/>
      <c r="PBH24" s="37"/>
      <c r="PBI24" s="37"/>
      <c r="PBJ24" s="37"/>
      <c r="PBK24" s="37"/>
      <c r="PBL24" s="37"/>
      <c r="PBM24" s="37"/>
      <c r="PBN24" s="37"/>
      <c r="PBO24" s="37"/>
      <c r="PBP24" s="37"/>
      <c r="PBQ24" s="37"/>
      <c r="PBR24" s="37"/>
      <c r="PBS24" s="37"/>
      <c r="PBT24" s="37"/>
      <c r="PBU24" s="37"/>
      <c r="PBV24" s="37"/>
      <c r="PBW24" s="37"/>
      <c r="PBX24" s="37"/>
      <c r="PBY24" s="37"/>
      <c r="PBZ24" s="37"/>
      <c r="PCA24" s="37"/>
      <c r="PCB24" s="37"/>
      <c r="PCC24" s="37"/>
      <c r="PCD24" s="37"/>
      <c r="PCE24" s="37"/>
      <c r="PCF24" s="37"/>
      <c r="PCG24" s="37"/>
      <c r="PCH24" s="37"/>
      <c r="PCI24" s="37"/>
      <c r="PCJ24" s="37"/>
      <c r="PCK24" s="37"/>
      <c r="PCL24" s="37"/>
      <c r="PCM24" s="37"/>
      <c r="PCN24" s="37"/>
      <c r="PCO24" s="37"/>
      <c r="PCP24" s="37"/>
      <c r="PCQ24" s="37"/>
      <c r="PCR24" s="37"/>
      <c r="PCS24" s="37"/>
      <c r="PCT24" s="37"/>
      <c r="PCU24" s="37"/>
      <c r="PCV24" s="37"/>
      <c r="PCW24" s="37"/>
      <c r="PCX24" s="37"/>
      <c r="PCY24" s="37"/>
      <c r="PCZ24" s="37"/>
      <c r="PDA24" s="37"/>
      <c r="PDB24" s="37"/>
      <c r="PDC24" s="37"/>
      <c r="PDD24" s="37"/>
      <c r="PDE24" s="37"/>
      <c r="PDF24" s="37"/>
      <c r="PDG24" s="37"/>
      <c r="PDH24" s="37"/>
      <c r="PDI24" s="37"/>
      <c r="PDJ24" s="37"/>
      <c r="PDK24" s="37"/>
      <c r="PDL24" s="37"/>
      <c r="PDM24" s="37"/>
      <c r="PDN24" s="37"/>
      <c r="PDO24" s="37"/>
      <c r="PDP24" s="37"/>
      <c r="PDQ24" s="37"/>
      <c r="PDR24" s="37"/>
      <c r="PDS24" s="37"/>
      <c r="PDT24" s="37"/>
      <c r="PDU24" s="37"/>
      <c r="PDV24" s="37"/>
      <c r="PDW24" s="37"/>
      <c r="PDX24" s="37"/>
      <c r="PDY24" s="37"/>
      <c r="PDZ24" s="37"/>
      <c r="PEA24" s="37"/>
      <c r="PEB24" s="37"/>
      <c r="PEC24" s="37"/>
      <c r="PED24" s="37"/>
      <c r="PEE24" s="37"/>
      <c r="PEF24" s="37"/>
      <c r="PEG24" s="37"/>
      <c r="PEH24" s="37"/>
      <c r="PEI24" s="37"/>
      <c r="PEJ24" s="37"/>
      <c r="PEK24" s="37"/>
      <c r="PEL24" s="37"/>
      <c r="PEM24" s="37"/>
      <c r="PEN24" s="37"/>
      <c r="PEO24" s="37"/>
      <c r="PEP24" s="37"/>
      <c r="PEQ24" s="37"/>
      <c r="PER24" s="37"/>
      <c r="PES24" s="37"/>
      <c r="PET24" s="37"/>
      <c r="PEU24" s="37"/>
      <c r="PEV24" s="37"/>
      <c r="PEW24" s="37"/>
      <c r="PEX24" s="37"/>
      <c r="PEY24" s="37"/>
      <c r="PEZ24" s="37"/>
      <c r="PFA24" s="37"/>
      <c r="PFB24" s="37"/>
      <c r="PFC24" s="37"/>
      <c r="PFD24" s="37"/>
      <c r="PFE24" s="37"/>
      <c r="PFF24" s="37"/>
      <c r="PFG24" s="37"/>
      <c r="PFH24" s="37"/>
      <c r="PFI24" s="37"/>
      <c r="PFJ24" s="37"/>
      <c r="PFK24" s="37"/>
      <c r="PFL24" s="37"/>
      <c r="PFM24" s="37"/>
      <c r="PFN24" s="37"/>
      <c r="PFO24" s="37"/>
      <c r="PFP24" s="37"/>
      <c r="PFQ24" s="37"/>
      <c r="PFR24" s="37"/>
      <c r="PFS24" s="37"/>
      <c r="PFT24" s="37"/>
      <c r="PFU24" s="37"/>
      <c r="PFV24" s="37"/>
      <c r="PFW24" s="37"/>
      <c r="PFX24" s="37"/>
      <c r="PFY24" s="37"/>
      <c r="PFZ24" s="37"/>
      <c r="PGA24" s="37"/>
      <c r="PGB24" s="37"/>
      <c r="PGC24" s="37"/>
      <c r="PGD24" s="37"/>
      <c r="PGE24" s="37"/>
      <c r="PGF24" s="37"/>
      <c r="PGG24" s="37"/>
      <c r="PGH24" s="37"/>
      <c r="PGI24" s="37"/>
      <c r="PGJ24" s="37"/>
      <c r="PGK24" s="37"/>
      <c r="PGL24" s="37"/>
      <c r="PGM24" s="37"/>
      <c r="PGN24" s="37"/>
      <c r="PGO24" s="37"/>
      <c r="PGP24" s="37"/>
      <c r="PGQ24" s="37"/>
      <c r="PGR24" s="37"/>
      <c r="PGS24" s="37"/>
      <c r="PGT24" s="37"/>
      <c r="PGU24" s="37"/>
      <c r="PGV24" s="37"/>
      <c r="PGW24" s="37"/>
      <c r="PGX24" s="37"/>
      <c r="PGY24" s="37"/>
      <c r="PGZ24" s="37"/>
      <c r="PHA24" s="37"/>
      <c r="PHB24" s="37"/>
      <c r="PHC24" s="37"/>
      <c r="PHD24" s="37"/>
      <c r="PHE24" s="37"/>
      <c r="PHF24" s="37"/>
      <c r="PHG24" s="37"/>
      <c r="PHH24" s="37"/>
      <c r="PHI24" s="37"/>
      <c r="PHJ24" s="37"/>
      <c r="PHK24" s="37"/>
      <c r="PHL24" s="37"/>
      <c r="PHM24" s="37"/>
      <c r="PHN24" s="37"/>
      <c r="PHO24" s="37"/>
      <c r="PHP24" s="37"/>
      <c r="PHQ24" s="37"/>
      <c r="PHR24" s="37"/>
      <c r="PHS24" s="37"/>
      <c r="PHT24" s="37"/>
      <c r="PHU24" s="37"/>
      <c r="PHV24" s="37"/>
      <c r="PHW24" s="37"/>
      <c r="PHX24" s="37"/>
      <c r="PHY24" s="37"/>
      <c r="PHZ24" s="37"/>
      <c r="PIA24" s="37"/>
      <c r="PIB24" s="37"/>
      <c r="PIC24" s="37"/>
      <c r="PID24" s="37"/>
      <c r="PIE24" s="37"/>
      <c r="PIF24" s="37"/>
      <c r="PIG24" s="37"/>
      <c r="PIH24" s="37"/>
      <c r="PII24" s="37"/>
      <c r="PIJ24" s="37"/>
      <c r="PIK24" s="37"/>
      <c r="PIL24" s="37"/>
      <c r="PIM24" s="37"/>
      <c r="PIN24" s="37"/>
      <c r="PIO24" s="37"/>
      <c r="PIP24" s="37"/>
      <c r="PIQ24" s="37"/>
      <c r="PIR24" s="37"/>
      <c r="PIS24" s="37"/>
      <c r="PIT24" s="37"/>
      <c r="PIU24" s="37"/>
      <c r="PIV24" s="37"/>
      <c r="PIW24" s="37"/>
      <c r="PIX24" s="37"/>
      <c r="PIY24" s="37"/>
      <c r="PIZ24" s="37"/>
      <c r="PJA24" s="37"/>
      <c r="PJB24" s="37"/>
      <c r="PJC24" s="37"/>
      <c r="PJD24" s="37"/>
      <c r="PJE24" s="37"/>
      <c r="PJF24" s="37"/>
      <c r="PJG24" s="37"/>
      <c r="PJH24" s="37"/>
      <c r="PJI24" s="37"/>
      <c r="PJJ24" s="37"/>
      <c r="PJK24" s="37"/>
      <c r="PJL24" s="37"/>
      <c r="PJM24" s="37"/>
      <c r="PJN24" s="37"/>
      <c r="PJO24" s="37"/>
      <c r="PJP24" s="37"/>
      <c r="PJQ24" s="37"/>
      <c r="PJR24" s="37"/>
      <c r="PJS24" s="37"/>
      <c r="PJT24" s="37"/>
      <c r="PJU24" s="37"/>
      <c r="PJV24" s="37"/>
      <c r="PJW24" s="37"/>
      <c r="PJX24" s="37"/>
      <c r="PJY24" s="37"/>
      <c r="PJZ24" s="37"/>
      <c r="PKA24" s="37"/>
      <c r="PKB24" s="37"/>
      <c r="PKC24" s="37"/>
      <c r="PKD24" s="37"/>
      <c r="PKE24" s="37"/>
      <c r="PKF24" s="37"/>
      <c r="PKG24" s="37"/>
      <c r="PKH24" s="37"/>
      <c r="PKI24" s="37"/>
      <c r="PKJ24" s="37"/>
      <c r="PKK24" s="37"/>
      <c r="PKL24" s="37"/>
      <c r="PKM24" s="37"/>
      <c r="PKN24" s="37"/>
      <c r="PKO24" s="37"/>
      <c r="PKP24" s="37"/>
      <c r="PKQ24" s="37"/>
      <c r="PKR24" s="37"/>
      <c r="PKS24" s="37"/>
      <c r="PKT24" s="37"/>
      <c r="PKU24" s="37"/>
      <c r="PKV24" s="37"/>
      <c r="PKW24" s="37"/>
      <c r="PKX24" s="37"/>
      <c r="PKY24" s="37"/>
      <c r="PKZ24" s="37"/>
      <c r="PLA24" s="37"/>
      <c r="PLB24" s="37"/>
      <c r="PLC24" s="37"/>
      <c r="PLD24" s="37"/>
      <c r="PLE24" s="37"/>
      <c r="PLF24" s="37"/>
      <c r="PLG24" s="37"/>
      <c r="PLH24" s="37"/>
      <c r="PLI24" s="37"/>
      <c r="PLJ24" s="37"/>
      <c r="PLK24" s="37"/>
      <c r="PLL24" s="37"/>
      <c r="PLM24" s="37"/>
      <c r="PLN24" s="37"/>
      <c r="PLO24" s="37"/>
      <c r="PLP24" s="37"/>
      <c r="PLQ24" s="37"/>
      <c r="PLR24" s="37"/>
      <c r="PLS24" s="37"/>
      <c r="PLT24" s="37"/>
      <c r="PLU24" s="37"/>
      <c r="PLV24" s="37"/>
      <c r="PLW24" s="37"/>
      <c r="PLX24" s="37"/>
      <c r="PLY24" s="37"/>
      <c r="PLZ24" s="37"/>
      <c r="PMA24" s="37"/>
      <c r="PMB24" s="37"/>
      <c r="PMC24" s="37"/>
      <c r="PMD24" s="37"/>
      <c r="PME24" s="37"/>
      <c r="PMF24" s="37"/>
      <c r="PMG24" s="37"/>
      <c r="PMH24" s="37"/>
      <c r="PMI24" s="37"/>
      <c r="PMJ24" s="37"/>
      <c r="PMK24" s="37"/>
      <c r="PML24" s="37"/>
      <c r="PMM24" s="37"/>
      <c r="PMN24" s="37"/>
      <c r="PMO24" s="37"/>
      <c r="PMP24" s="37"/>
      <c r="PMQ24" s="37"/>
      <c r="PMR24" s="37"/>
      <c r="PMS24" s="37"/>
      <c r="PMT24" s="37"/>
      <c r="PMU24" s="37"/>
      <c r="PMV24" s="37"/>
      <c r="PMW24" s="37"/>
      <c r="PMX24" s="37"/>
      <c r="PMY24" s="37"/>
      <c r="PMZ24" s="37"/>
      <c r="PNA24" s="37"/>
      <c r="PNB24" s="37"/>
      <c r="PNC24" s="37"/>
      <c r="PND24" s="37"/>
      <c r="PNE24" s="37"/>
      <c r="PNF24" s="37"/>
      <c r="PNG24" s="37"/>
      <c r="PNH24" s="37"/>
      <c r="PNI24" s="37"/>
      <c r="PNJ24" s="37"/>
      <c r="PNK24" s="37"/>
      <c r="PNL24" s="37"/>
      <c r="PNM24" s="37"/>
      <c r="PNN24" s="37"/>
      <c r="PNO24" s="37"/>
      <c r="PNP24" s="37"/>
      <c r="PNQ24" s="37"/>
      <c r="PNR24" s="37"/>
      <c r="PNS24" s="37"/>
      <c r="PNT24" s="37"/>
      <c r="PNU24" s="37"/>
      <c r="PNV24" s="37"/>
      <c r="PNW24" s="37"/>
      <c r="PNX24" s="37"/>
      <c r="PNY24" s="37"/>
      <c r="PNZ24" s="37"/>
      <c r="POA24" s="37"/>
      <c r="POB24" s="37"/>
      <c r="POC24" s="37"/>
      <c r="POD24" s="37"/>
      <c r="POE24" s="37"/>
      <c r="POF24" s="37"/>
      <c r="POG24" s="37"/>
      <c r="POH24" s="37"/>
      <c r="POI24" s="37"/>
      <c r="POJ24" s="37"/>
      <c r="POK24" s="37"/>
      <c r="POL24" s="37"/>
      <c r="POM24" s="37"/>
      <c r="PON24" s="37"/>
      <c r="POO24" s="37"/>
      <c r="POP24" s="37"/>
      <c r="POQ24" s="37"/>
      <c r="POR24" s="37"/>
      <c r="POS24" s="37"/>
      <c r="POT24" s="37"/>
      <c r="POU24" s="37"/>
      <c r="POV24" s="37"/>
      <c r="POW24" s="37"/>
      <c r="POX24" s="37"/>
      <c r="POY24" s="37"/>
      <c r="POZ24" s="37"/>
      <c r="PPA24" s="37"/>
      <c r="PPB24" s="37"/>
      <c r="PPC24" s="37"/>
      <c r="PPD24" s="37"/>
      <c r="PPE24" s="37"/>
      <c r="PPF24" s="37"/>
      <c r="PPG24" s="37"/>
      <c r="PPH24" s="37"/>
      <c r="PPI24" s="37"/>
      <c r="PPJ24" s="37"/>
      <c r="PPK24" s="37"/>
      <c r="PPL24" s="37"/>
      <c r="PPM24" s="37"/>
      <c r="PPN24" s="37"/>
      <c r="PPO24" s="37"/>
      <c r="PPP24" s="37"/>
      <c r="PPQ24" s="37"/>
      <c r="PPR24" s="37"/>
      <c r="PPS24" s="37"/>
      <c r="PPT24" s="37"/>
      <c r="PPU24" s="37"/>
      <c r="PPV24" s="37"/>
      <c r="PPW24" s="37"/>
      <c r="PPX24" s="37"/>
      <c r="PPY24" s="37"/>
      <c r="PPZ24" s="37"/>
      <c r="PQA24" s="37"/>
      <c r="PQB24" s="37"/>
      <c r="PQC24" s="37"/>
      <c r="PQD24" s="37"/>
      <c r="PQE24" s="37"/>
      <c r="PQF24" s="37"/>
      <c r="PQG24" s="37"/>
      <c r="PQH24" s="37"/>
      <c r="PQI24" s="37"/>
      <c r="PQJ24" s="37"/>
      <c r="PQK24" s="37"/>
      <c r="PQL24" s="37"/>
      <c r="PQM24" s="37"/>
      <c r="PQN24" s="37"/>
      <c r="PQO24" s="37"/>
      <c r="PQP24" s="37"/>
      <c r="PQQ24" s="37"/>
      <c r="PQR24" s="37"/>
      <c r="PQS24" s="37"/>
      <c r="PQT24" s="37"/>
      <c r="PQU24" s="37"/>
      <c r="PQV24" s="37"/>
      <c r="PQW24" s="37"/>
      <c r="PQX24" s="37"/>
      <c r="PQY24" s="37"/>
      <c r="PQZ24" s="37"/>
      <c r="PRA24" s="37"/>
      <c r="PRB24" s="37"/>
      <c r="PRC24" s="37"/>
      <c r="PRD24" s="37"/>
      <c r="PRE24" s="37"/>
      <c r="PRF24" s="37"/>
      <c r="PRG24" s="37"/>
      <c r="PRH24" s="37"/>
      <c r="PRI24" s="37"/>
      <c r="PRJ24" s="37"/>
      <c r="PRK24" s="37"/>
      <c r="PRL24" s="37"/>
      <c r="PRM24" s="37"/>
      <c r="PRN24" s="37"/>
      <c r="PRO24" s="37"/>
      <c r="PRP24" s="37"/>
      <c r="PRQ24" s="37"/>
      <c r="PRR24" s="37"/>
      <c r="PRS24" s="37"/>
      <c r="PRT24" s="37"/>
      <c r="PRU24" s="37"/>
      <c r="PRV24" s="37"/>
      <c r="PRW24" s="37"/>
      <c r="PRX24" s="37"/>
      <c r="PRY24" s="37"/>
      <c r="PRZ24" s="37"/>
      <c r="PSA24" s="37"/>
      <c r="PSB24" s="37"/>
      <c r="PSC24" s="37"/>
      <c r="PSD24" s="37"/>
      <c r="PSE24" s="37"/>
      <c r="PSF24" s="37"/>
      <c r="PSG24" s="37"/>
      <c r="PSH24" s="37"/>
      <c r="PSI24" s="37"/>
      <c r="PSJ24" s="37"/>
      <c r="PSK24" s="37"/>
      <c r="PSL24" s="37"/>
      <c r="PSM24" s="37"/>
      <c r="PSN24" s="37"/>
      <c r="PSO24" s="37"/>
      <c r="PSP24" s="37"/>
      <c r="PSQ24" s="37"/>
      <c r="PSR24" s="37"/>
      <c r="PSS24" s="37"/>
      <c r="PST24" s="37"/>
      <c r="PSU24" s="37"/>
      <c r="PSV24" s="37"/>
      <c r="PSW24" s="37"/>
      <c r="PSX24" s="37"/>
      <c r="PSY24" s="37"/>
      <c r="PSZ24" s="37"/>
      <c r="PTA24" s="37"/>
      <c r="PTB24" s="37"/>
      <c r="PTC24" s="37"/>
      <c r="PTD24" s="37"/>
      <c r="PTE24" s="37"/>
      <c r="PTF24" s="37"/>
      <c r="PTG24" s="37"/>
      <c r="PTH24" s="37"/>
      <c r="PTI24" s="37"/>
      <c r="PTJ24" s="37"/>
      <c r="PTK24" s="37"/>
      <c r="PTL24" s="37"/>
      <c r="PTM24" s="37"/>
      <c r="PTN24" s="37"/>
      <c r="PTO24" s="37"/>
      <c r="PTP24" s="37"/>
      <c r="PTQ24" s="37"/>
      <c r="PTR24" s="37"/>
      <c r="PTS24" s="37"/>
      <c r="PTT24" s="37"/>
      <c r="PTU24" s="37"/>
      <c r="PTV24" s="37"/>
      <c r="PTW24" s="37"/>
      <c r="PTX24" s="37"/>
      <c r="PTY24" s="37"/>
      <c r="PTZ24" s="37"/>
      <c r="PUA24" s="37"/>
      <c r="PUB24" s="37"/>
      <c r="PUC24" s="37"/>
      <c r="PUD24" s="37"/>
      <c r="PUE24" s="37"/>
      <c r="PUF24" s="37"/>
      <c r="PUG24" s="37"/>
      <c r="PUH24" s="37"/>
      <c r="PUI24" s="37"/>
      <c r="PUJ24" s="37"/>
      <c r="PUK24" s="37"/>
      <c r="PUL24" s="37"/>
      <c r="PUM24" s="37"/>
      <c r="PUN24" s="37"/>
      <c r="PUO24" s="37"/>
      <c r="PUP24" s="37"/>
      <c r="PUQ24" s="37"/>
      <c r="PUR24" s="37"/>
      <c r="PUS24" s="37"/>
      <c r="PUT24" s="37"/>
      <c r="PUU24" s="37"/>
      <c r="PUV24" s="37"/>
      <c r="PUW24" s="37"/>
      <c r="PUX24" s="37"/>
      <c r="PUY24" s="37"/>
      <c r="PUZ24" s="37"/>
      <c r="PVA24" s="37"/>
      <c r="PVB24" s="37"/>
      <c r="PVC24" s="37"/>
      <c r="PVD24" s="37"/>
      <c r="PVE24" s="37"/>
      <c r="PVF24" s="37"/>
      <c r="PVG24" s="37"/>
      <c r="PVH24" s="37"/>
      <c r="PVI24" s="37"/>
      <c r="PVJ24" s="37"/>
      <c r="PVK24" s="37"/>
      <c r="PVL24" s="37"/>
      <c r="PVM24" s="37"/>
      <c r="PVN24" s="37"/>
      <c r="PVO24" s="37"/>
      <c r="PVP24" s="37"/>
      <c r="PVQ24" s="37"/>
      <c r="PVR24" s="37"/>
      <c r="PVS24" s="37"/>
      <c r="PVT24" s="37"/>
      <c r="PVU24" s="37"/>
      <c r="PVV24" s="37"/>
      <c r="PVW24" s="37"/>
      <c r="PVX24" s="37"/>
      <c r="PVY24" s="37"/>
      <c r="PVZ24" s="37"/>
      <c r="PWA24" s="37"/>
      <c r="PWB24" s="37"/>
      <c r="PWC24" s="37"/>
      <c r="PWD24" s="37"/>
      <c r="PWE24" s="37"/>
      <c r="PWF24" s="37"/>
      <c r="PWG24" s="37"/>
      <c r="PWH24" s="37"/>
      <c r="PWI24" s="37"/>
      <c r="PWJ24" s="37"/>
      <c r="PWK24" s="37"/>
      <c r="PWL24" s="37"/>
      <c r="PWM24" s="37"/>
      <c r="PWN24" s="37"/>
      <c r="PWO24" s="37"/>
      <c r="PWP24" s="37"/>
      <c r="PWQ24" s="37"/>
      <c r="PWR24" s="37"/>
      <c r="PWS24" s="37"/>
      <c r="PWT24" s="37"/>
      <c r="PWU24" s="37"/>
      <c r="PWV24" s="37"/>
      <c r="PWW24" s="37"/>
      <c r="PWX24" s="37"/>
      <c r="PWY24" s="37"/>
      <c r="PWZ24" s="37"/>
      <c r="PXA24" s="37"/>
      <c r="PXB24" s="37"/>
      <c r="PXC24" s="37"/>
      <c r="PXD24" s="37"/>
      <c r="PXE24" s="37"/>
      <c r="PXF24" s="37"/>
      <c r="PXG24" s="37"/>
      <c r="PXH24" s="37"/>
      <c r="PXI24" s="37"/>
      <c r="PXJ24" s="37"/>
      <c r="PXK24" s="37"/>
      <c r="PXL24" s="37"/>
      <c r="PXM24" s="37"/>
      <c r="PXN24" s="37"/>
      <c r="PXO24" s="37"/>
      <c r="PXP24" s="37"/>
      <c r="PXQ24" s="37"/>
      <c r="PXR24" s="37"/>
      <c r="PXS24" s="37"/>
      <c r="PXT24" s="37"/>
      <c r="PXU24" s="37"/>
      <c r="PXV24" s="37"/>
      <c r="PXW24" s="37"/>
      <c r="PXX24" s="37"/>
      <c r="PXY24" s="37"/>
      <c r="PXZ24" s="37"/>
      <c r="PYA24" s="37"/>
      <c r="PYB24" s="37"/>
      <c r="PYC24" s="37"/>
      <c r="PYD24" s="37"/>
      <c r="PYE24" s="37"/>
      <c r="PYF24" s="37"/>
      <c r="PYG24" s="37"/>
      <c r="PYH24" s="37"/>
      <c r="PYI24" s="37"/>
      <c r="PYJ24" s="37"/>
      <c r="PYK24" s="37"/>
      <c r="PYL24" s="37"/>
      <c r="PYM24" s="37"/>
      <c r="PYN24" s="37"/>
      <c r="PYO24" s="37"/>
      <c r="PYP24" s="37"/>
      <c r="PYQ24" s="37"/>
      <c r="PYR24" s="37"/>
      <c r="PYS24" s="37"/>
      <c r="PYT24" s="37"/>
      <c r="PYU24" s="37"/>
      <c r="PYV24" s="37"/>
      <c r="PYW24" s="37"/>
      <c r="PYX24" s="37"/>
      <c r="PYY24" s="37"/>
      <c r="PYZ24" s="37"/>
      <c r="PZA24" s="37"/>
      <c r="PZB24" s="37"/>
      <c r="PZC24" s="37"/>
      <c r="PZD24" s="37"/>
      <c r="PZE24" s="37"/>
      <c r="PZF24" s="37"/>
      <c r="PZG24" s="37"/>
      <c r="PZH24" s="37"/>
      <c r="PZI24" s="37"/>
      <c r="PZJ24" s="37"/>
      <c r="PZK24" s="37"/>
      <c r="PZL24" s="37"/>
      <c r="PZM24" s="37"/>
      <c r="PZN24" s="37"/>
      <c r="PZO24" s="37"/>
      <c r="PZP24" s="37"/>
      <c r="PZQ24" s="37"/>
      <c r="PZR24" s="37"/>
      <c r="PZS24" s="37"/>
      <c r="PZT24" s="37"/>
      <c r="PZU24" s="37"/>
      <c r="PZV24" s="37"/>
      <c r="PZW24" s="37"/>
      <c r="PZX24" s="37"/>
      <c r="PZY24" s="37"/>
      <c r="PZZ24" s="37"/>
      <c r="QAA24" s="37"/>
      <c r="QAB24" s="37"/>
      <c r="QAC24" s="37"/>
      <c r="QAD24" s="37"/>
      <c r="QAE24" s="37"/>
      <c r="QAF24" s="37"/>
      <c r="QAG24" s="37"/>
      <c r="QAH24" s="37"/>
      <c r="QAI24" s="37"/>
      <c r="QAJ24" s="37"/>
      <c r="QAK24" s="37"/>
      <c r="QAL24" s="37"/>
      <c r="QAM24" s="37"/>
      <c r="QAN24" s="37"/>
      <c r="QAO24" s="37"/>
      <c r="QAP24" s="37"/>
      <c r="QAQ24" s="37"/>
      <c r="QAR24" s="37"/>
      <c r="QAS24" s="37"/>
      <c r="QAT24" s="37"/>
      <c r="QAU24" s="37"/>
      <c r="QAV24" s="37"/>
      <c r="QAW24" s="37"/>
      <c r="QAX24" s="37"/>
      <c r="QAY24" s="37"/>
      <c r="QAZ24" s="37"/>
      <c r="QBA24" s="37"/>
      <c r="QBB24" s="37"/>
      <c r="QBC24" s="37"/>
      <c r="QBD24" s="37"/>
      <c r="QBE24" s="37"/>
      <c r="QBF24" s="37"/>
      <c r="QBG24" s="37"/>
      <c r="QBH24" s="37"/>
      <c r="QBI24" s="37"/>
      <c r="QBJ24" s="37"/>
      <c r="QBK24" s="37"/>
      <c r="QBL24" s="37"/>
      <c r="QBM24" s="37"/>
      <c r="QBN24" s="37"/>
      <c r="QBO24" s="37"/>
      <c r="QBP24" s="37"/>
      <c r="QBQ24" s="37"/>
      <c r="QBR24" s="37"/>
      <c r="QBS24" s="37"/>
      <c r="QBT24" s="37"/>
      <c r="QBU24" s="37"/>
      <c r="QBV24" s="37"/>
      <c r="QBW24" s="37"/>
      <c r="QBX24" s="37"/>
      <c r="QBY24" s="37"/>
      <c r="QBZ24" s="37"/>
      <c r="QCA24" s="37"/>
      <c r="QCB24" s="37"/>
      <c r="QCC24" s="37"/>
      <c r="QCD24" s="37"/>
      <c r="QCE24" s="37"/>
      <c r="QCF24" s="37"/>
      <c r="QCG24" s="37"/>
      <c r="QCH24" s="37"/>
      <c r="QCI24" s="37"/>
      <c r="QCJ24" s="37"/>
      <c r="QCK24" s="37"/>
      <c r="QCL24" s="37"/>
      <c r="QCM24" s="37"/>
      <c r="QCN24" s="37"/>
      <c r="QCO24" s="37"/>
      <c r="QCP24" s="37"/>
      <c r="QCQ24" s="37"/>
      <c r="QCR24" s="37"/>
      <c r="QCS24" s="37"/>
      <c r="QCT24" s="37"/>
      <c r="QCU24" s="37"/>
      <c r="QCV24" s="37"/>
      <c r="QCW24" s="37"/>
      <c r="QCX24" s="37"/>
      <c r="QCY24" s="37"/>
      <c r="QCZ24" s="37"/>
      <c r="QDA24" s="37"/>
      <c r="QDB24" s="37"/>
      <c r="QDC24" s="37"/>
      <c r="QDD24" s="37"/>
      <c r="QDE24" s="37"/>
      <c r="QDF24" s="37"/>
      <c r="QDG24" s="37"/>
      <c r="QDH24" s="37"/>
      <c r="QDI24" s="37"/>
      <c r="QDJ24" s="37"/>
      <c r="QDK24" s="37"/>
      <c r="QDL24" s="37"/>
      <c r="QDM24" s="37"/>
      <c r="QDN24" s="37"/>
      <c r="QDO24" s="37"/>
      <c r="QDP24" s="37"/>
      <c r="QDQ24" s="37"/>
      <c r="QDR24" s="37"/>
      <c r="QDS24" s="37"/>
      <c r="QDT24" s="37"/>
      <c r="QDU24" s="37"/>
      <c r="QDV24" s="37"/>
      <c r="QDW24" s="37"/>
      <c r="QDX24" s="37"/>
      <c r="QDY24" s="37"/>
      <c r="QDZ24" s="37"/>
      <c r="QEA24" s="37"/>
      <c r="QEB24" s="37"/>
      <c r="QEC24" s="37"/>
      <c r="QED24" s="37"/>
      <c r="QEE24" s="37"/>
      <c r="QEF24" s="37"/>
      <c r="QEG24" s="37"/>
      <c r="QEH24" s="37"/>
      <c r="QEI24" s="37"/>
      <c r="QEJ24" s="37"/>
      <c r="QEK24" s="37"/>
      <c r="QEL24" s="37"/>
      <c r="QEM24" s="37"/>
      <c r="QEN24" s="37"/>
      <c r="QEO24" s="37"/>
      <c r="QEP24" s="37"/>
      <c r="QEQ24" s="37"/>
      <c r="QER24" s="37"/>
      <c r="QES24" s="37"/>
      <c r="QET24" s="37"/>
      <c r="QEU24" s="37"/>
      <c r="QEV24" s="37"/>
      <c r="QEW24" s="37"/>
      <c r="QEX24" s="37"/>
      <c r="QEY24" s="37"/>
      <c r="QEZ24" s="37"/>
      <c r="QFA24" s="37"/>
      <c r="QFB24" s="37"/>
      <c r="QFC24" s="37"/>
      <c r="QFD24" s="37"/>
      <c r="QFE24" s="37"/>
      <c r="QFF24" s="37"/>
      <c r="QFG24" s="37"/>
      <c r="QFH24" s="37"/>
      <c r="QFI24" s="37"/>
      <c r="QFJ24" s="37"/>
      <c r="QFK24" s="37"/>
      <c r="QFL24" s="37"/>
      <c r="QFM24" s="37"/>
      <c r="QFN24" s="37"/>
      <c r="QFO24" s="37"/>
      <c r="QFP24" s="37"/>
      <c r="QFQ24" s="37"/>
      <c r="QFR24" s="37"/>
      <c r="QFS24" s="37"/>
      <c r="QFT24" s="37"/>
      <c r="QFU24" s="37"/>
      <c r="QFV24" s="37"/>
      <c r="QFW24" s="37"/>
      <c r="QFX24" s="37"/>
      <c r="QFY24" s="37"/>
      <c r="QFZ24" s="37"/>
      <c r="QGA24" s="37"/>
      <c r="QGB24" s="37"/>
      <c r="QGC24" s="37"/>
      <c r="QGD24" s="37"/>
      <c r="QGE24" s="37"/>
      <c r="QGF24" s="37"/>
      <c r="QGG24" s="37"/>
      <c r="QGH24" s="37"/>
      <c r="QGI24" s="37"/>
      <c r="QGJ24" s="37"/>
      <c r="QGK24" s="37"/>
      <c r="QGL24" s="37"/>
      <c r="QGM24" s="37"/>
      <c r="QGN24" s="37"/>
      <c r="QGO24" s="37"/>
      <c r="QGP24" s="37"/>
      <c r="QGQ24" s="37"/>
      <c r="QGR24" s="37"/>
      <c r="QGS24" s="37"/>
      <c r="QGT24" s="37"/>
      <c r="QGU24" s="37"/>
      <c r="QGV24" s="37"/>
      <c r="QGW24" s="37"/>
      <c r="QGX24" s="37"/>
      <c r="QGY24" s="37"/>
      <c r="QGZ24" s="37"/>
      <c r="QHA24" s="37"/>
      <c r="QHB24" s="37"/>
      <c r="QHC24" s="37"/>
      <c r="QHD24" s="37"/>
      <c r="QHE24" s="37"/>
      <c r="QHF24" s="37"/>
      <c r="QHG24" s="37"/>
      <c r="QHH24" s="37"/>
      <c r="QHI24" s="37"/>
      <c r="QHJ24" s="37"/>
      <c r="QHK24" s="37"/>
      <c r="QHL24" s="37"/>
      <c r="QHM24" s="37"/>
      <c r="QHN24" s="37"/>
      <c r="QHO24" s="37"/>
      <c r="QHP24" s="37"/>
      <c r="QHQ24" s="37"/>
      <c r="QHR24" s="37"/>
      <c r="QHS24" s="37"/>
      <c r="QHT24" s="37"/>
      <c r="QHU24" s="37"/>
      <c r="QHV24" s="37"/>
      <c r="QHW24" s="37"/>
      <c r="QHX24" s="37"/>
      <c r="QHY24" s="37"/>
      <c r="QHZ24" s="37"/>
      <c r="QIA24" s="37"/>
      <c r="QIB24" s="37"/>
      <c r="QIC24" s="37"/>
      <c r="QID24" s="37"/>
      <c r="QIE24" s="37"/>
      <c r="QIF24" s="37"/>
      <c r="QIG24" s="37"/>
      <c r="QIH24" s="37"/>
      <c r="QII24" s="37"/>
      <c r="QIJ24" s="37"/>
      <c r="QIK24" s="37"/>
      <c r="QIL24" s="37"/>
      <c r="QIM24" s="37"/>
      <c r="QIN24" s="37"/>
      <c r="QIO24" s="37"/>
      <c r="QIP24" s="37"/>
      <c r="QIQ24" s="37"/>
      <c r="QIR24" s="37"/>
      <c r="QIS24" s="37"/>
      <c r="QIT24" s="37"/>
      <c r="QIU24" s="37"/>
      <c r="QIV24" s="37"/>
      <c r="QIW24" s="37"/>
      <c r="QIX24" s="37"/>
      <c r="QIY24" s="37"/>
      <c r="QIZ24" s="37"/>
      <c r="QJA24" s="37"/>
      <c r="QJB24" s="37"/>
      <c r="QJC24" s="37"/>
      <c r="QJD24" s="37"/>
      <c r="QJE24" s="37"/>
      <c r="QJF24" s="37"/>
      <c r="QJG24" s="37"/>
      <c r="QJH24" s="37"/>
      <c r="QJI24" s="37"/>
      <c r="QJJ24" s="37"/>
      <c r="QJK24" s="37"/>
      <c r="QJL24" s="37"/>
      <c r="QJM24" s="37"/>
      <c r="QJN24" s="37"/>
      <c r="QJO24" s="37"/>
      <c r="QJP24" s="37"/>
      <c r="QJQ24" s="37"/>
      <c r="QJR24" s="37"/>
      <c r="QJS24" s="37"/>
      <c r="QJT24" s="37"/>
      <c r="QJU24" s="37"/>
      <c r="QJV24" s="37"/>
      <c r="QJW24" s="37"/>
      <c r="QJX24" s="37"/>
      <c r="QJY24" s="37"/>
      <c r="QJZ24" s="37"/>
      <c r="QKA24" s="37"/>
      <c r="QKB24" s="37"/>
      <c r="QKC24" s="37"/>
      <c r="QKD24" s="37"/>
      <c r="QKE24" s="37"/>
      <c r="QKF24" s="37"/>
      <c r="QKG24" s="37"/>
      <c r="QKH24" s="37"/>
      <c r="QKI24" s="37"/>
      <c r="QKJ24" s="37"/>
      <c r="QKK24" s="37"/>
      <c r="QKL24" s="37"/>
      <c r="QKM24" s="37"/>
      <c r="QKN24" s="37"/>
      <c r="QKO24" s="37"/>
      <c r="QKP24" s="37"/>
      <c r="QKQ24" s="37"/>
      <c r="QKR24" s="37"/>
      <c r="QKS24" s="37"/>
      <c r="QKT24" s="37"/>
      <c r="QKU24" s="37"/>
      <c r="QKV24" s="37"/>
      <c r="QKW24" s="37"/>
      <c r="QKX24" s="37"/>
      <c r="QKY24" s="37"/>
      <c r="QKZ24" s="37"/>
      <c r="QLA24" s="37"/>
      <c r="QLB24" s="37"/>
      <c r="QLC24" s="37"/>
      <c r="QLD24" s="37"/>
      <c r="QLE24" s="37"/>
      <c r="QLF24" s="37"/>
      <c r="QLG24" s="37"/>
      <c r="QLH24" s="37"/>
      <c r="QLI24" s="37"/>
      <c r="QLJ24" s="37"/>
      <c r="QLK24" s="37"/>
      <c r="QLL24" s="37"/>
      <c r="QLM24" s="37"/>
      <c r="QLN24" s="37"/>
      <c r="QLO24" s="37"/>
      <c r="QLP24" s="37"/>
      <c r="QLQ24" s="37"/>
      <c r="QLR24" s="37"/>
      <c r="QLS24" s="37"/>
      <c r="QLT24" s="37"/>
      <c r="QLU24" s="37"/>
      <c r="QLV24" s="37"/>
      <c r="QLW24" s="37"/>
      <c r="QLX24" s="37"/>
      <c r="QLY24" s="37"/>
      <c r="QLZ24" s="37"/>
      <c r="QMA24" s="37"/>
      <c r="QMB24" s="37"/>
      <c r="QMC24" s="37"/>
      <c r="QMD24" s="37"/>
      <c r="QME24" s="37"/>
      <c r="QMF24" s="37"/>
      <c r="QMG24" s="37"/>
      <c r="QMH24" s="37"/>
      <c r="QMI24" s="37"/>
      <c r="QMJ24" s="37"/>
      <c r="QMK24" s="37"/>
      <c r="QML24" s="37"/>
      <c r="QMM24" s="37"/>
      <c r="QMN24" s="37"/>
      <c r="QMO24" s="37"/>
      <c r="QMP24" s="37"/>
      <c r="QMQ24" s="37"/>
      <c r="QMR24" s="37"/>
      <c r="QMS24" s="37"/>
      <c r="QMT24" s="37"/>
      <c r="QMU24" s="37"/>
      <c r="QMV24" s="37"/>
      <c r="QMW24" s="37"/>
      <c r="QMX24" s="37"/>
      <c r="QMY24" s="37"/>
      <c r="QMZ24" s="37"/>
      <c r="QNA24" s="37"/>
      <c r="QNB24" s="37"/>
      <c r="QNC24" s="37"/>
      <c r="QND24" s="37"/>
      <c r="QNE24" s="37"/>
      <c r="QNF24" s="37"/>
      <c r="QNG24" s="37"/>
      <c r="QNH24" s="37"/>
      <c r="QNI24" s="37"/>
      <c r="QNJ24" s="37"/>
      <c r="QNK24" s="37"/>
      <c r="QNL24" s="37"/>
      <c r="QNM24" s="37"/>
      <c r="QNN24" s="37"/>
      <c r="QNO24" s="37"/>
      <c r="QNP24" s="37"/>
      <c r="QNQ24" s="37"/>
      <c r="QNR24" s="37"/>
      <c r="QNS24" s="37"/>
      <c r="QNT24" s="37"/>
      <c r="QNU24" s="37"/>
      <c r="QNV24" s="37"/>
      <c r="QNW24" s="37"/>
      <c r="QNX24" s="37"/>
      <c r="QNY24" s="37"/>
      <c r="QNZ24" s="37"/>
      <c r="QOA24" s="37"/>
      <c r="QOB24" s="37"/>
      <c r="QOC24" s="37"/>
      <c r="QOD24" s="37"/>
      <c r="QOE24" s="37"/>
      <c r="QOF24" s="37"/>
      <c r="QOG24" s="37"/>
      <c r="QOH24" s="37"/>
      <c r="QOI24" s="37"/>
      <c r="QOJ24" s="37"/>
      <c r="QOK24" s="37"/>
      <c r="QOL24" s="37"/>
      <c r="QOM24" s="37"/>
      <c r="QON24" s="37"/>
      <c r="QOO24" s="37"/>
      <c r="QOP24" s="37"/>
      <c r="QOQ24" s="37"/>
      <c r="QOR24" s="37"/>
      <c r="QOS24" s="37"/>
      <c r="QOT24" s="37"/>
      <c r="QOU24" s="37"/>
      <c r="QOV24" s="37"/>
      <c r="QOW24" s="37"/>
      <c r="QOX24" s="37"/>
      <c r="QOY24" s="37"/>
      <c r="QOZ24" s="37"/>
      <c r="QPA24" s="37"/>
      <c r="QPB24" s="37"/>
      <c r="QPC24" s="37"/>
      <c r="QPD24" s="37"/>
      <c r="QPE24" s="37"/>
      <c r="QPF24" s="37"/>
      <c r="QPG24" s="37"/>
      <c r="QPH24" s="37"/>
      <c r="QPI24" s="37"/>
      <c r="QPJ24" s="37"/>
      <c r="QPK24" s="37"/>
      <c r="QPL24" s="37"/>
      <c r="QPM24" s="37"/>
      <c r="QPN24" s="37"/>
      <c r="QPO24" s="37"/>
      <c r="QPP24" s="37"/>
      <c r="QPQ24" s="37"/>
      <c r="QPR24" s="37"/>
      <c r="QPS24" s="37"/>
      <c r="QPT24" s="37"/>
      <c r="QPU24" s="37"/>
      <c r="QPV24" s="37"/>
      <c r="QPW24" s="37"/>
      <c r="QPX24" s="37"/>
      <c r="QPY24" s="37"/>
      <c r="QPZ24" s="37"/>
      <c r="QQA24" s="37"/>
      <c r="QQB24" s="37"/>
      <c r="QQC24" s="37"/>
      <c r="QQD24" s="37"/>
      <c r="QQE24" s="37"/>
      <c r="QQF24" s="37"/>
      <c r="QQG24" s="37"/>
      <c r="QQH24" s="37"/>
      <c r="QQI24" s="37"/>
      <c r="QQJ24" s="37"/>
      <c r="QQK24" s="37"/>
      <c r="QQL24" s="37"/>
      <c r="QQM24" s="37"/>
      <c r="QQN24" s="37"/>
      <c r="QQO24" s="37"/>
      <c r="QQP24" s="37"/>
      <c r="QQQ24" s="37"/>
      <c r="QQR24" s="37"/>
      <c r="QQS24" s="37"/>
      <c r="QQT24" s="37"/>
      <c r="QQU24" s="37"/>
      <c r="QQV24" s="37"/>
      <c r="QQW24" s="37"/>
      <c r="QQX24" s="37"/>
      <c r="QQY24" s="37"/>
      <c r="QQZ24" s="37"/>
      <c r="QRA24" s="37"/>
      <c r="QRB24" s="37"/>
      <c r="QRC24" s="37"/>
      <c r="QRD24" s="37"/>
      <c r="QRE24" s="37"/>
      <c r="QRF24" s="37"/>
      <c r="QRG24" s="37"/>
      <c r="QRH24" s="37"/>
      <c r="QRI24" s="37"/>
      <c r="QRJ24" s="37"/>
      <c r="QRK24" s="37"/>
      <c r="QRL24" s="37"/>
      <c r="QRM24" s="37"/>
      <c r="QRN24" s="37"/>
      <c r="QRO24" s="37"/>
      <c r="QRP24" s="37"/>
      <c r="QRQ24" s="37"/>
      <c r="QRR24" s="37"/>
      <c r="QRS24" s="37"/>
      <c r="QRT24" s="37"/>
      <c r="QRU24" s="37"/>
      <c r="QRV24" s="37"/>
      <c r="QRW24" s="37"/>
      <c r="QRX24" s="37"/>
      <c r="QRY24" s="37"/>
      <c r="QRZ24" s="37"/>
      <c r="QSA24" s="37"/>
      <c r="QSB24" s="37"/>
      <c r="QSC24" s="37"/>
      <c r="QSD24" s="37"/>
      <c r="QSE24" s="37"/>
      <c r="QSF24" s="37"/>
      <c r="QSG24" s="37"/>
      <c r="QSH24" s="37"/>
      <c r="QSI24" s="37"/>
      <c r="QSJ24" s="37"/>
      <c r="QSK24" s="37"/>
      <c r="QSL24" s="37"/>
      <c r="QSM24" s="37"/>
      <c r="QSN24" s="37"/>
      <c r="QSO24" s="37"/>
      <c r="QSP24" s="37"/>
      <c r="QSQ24" s="37"/>
      <c r="QSR24" s="37"/>
      <c r="QSS24" s="37"/>
      <c r="QST24" s="37"/>
      <c r="QSU24" s="37"/>
      <c r="QSV24" s="37"/>
      <c r="QSW24" s="37"/>
      <c r="QSX24" s="37"/>
      <c r="QSY24" s="37"/>
      <c r="QSZ24" s="37"/>
      <c r="QTA24" s="37"/>
      <c r="QTB24" s="37"/>
      <c r="QTC24" s="37"/>
      <c r="QTD24" s="37"/>
      <c r="QTE24" s="37"/>
      <c r="QTF24" s="37"/>
      <c r="QTG24" s="37"/>
      <c r="QTH24" s="37"/>
      <c r="QTI24" s="37"/>
      <c r="QTJ24" s="37"/>
      <c r="QTK24" s="37"/>
      <c r="QTL24" s="37"/>
      <c r="QTM24" s="37"/>
      <c r="QTN24" s="37"/>
      <c r="QTO24" s="37"/>
      <c r="QTP24" s="37"/>
      <c r="QTQ24" s="37"/>
      <c r="QTR24" s="37"/>
      <c r="QTS24" s="37"/>
      <c r="QTT24" s="37"/>
      <c r="QTU24" s="37"/>
      <c r="QTV24" s="37"/>
      <c r="QTW24" s="37"/>
      <c r="QTX24" s="37"/>
      <c r="QTY24" s="37"/>
      <c r="QTZ24" s="37"/>
      <c r="QUA24" s="37"/>
      <c r="QUB24" s="37"/>
      <c r="QUC24" s="37"/>
      <c r="QUD24" s="37"/>
      <c r="QUE24" s="37"/>
      <c r="QUF24" s="37"/>
      <c r="QUG24" s="37"/>
      <c r="QUH24" s="37"/>
      <c r="QUI24" s="37"/>
      <c r="QUJ24" s="37"/>
      <c r="QUK24" s="37"/>
      <c r="QUL24" s="37"/>
      <c r="QUM24" s="37"/>
      <c r="QUN24" s="37"/>
      <c r="QUO24" s="37"/>
      <c r="QUP24" s="37"/>
      <c r="QUQ24" s="37"/>
      <c r="QUR24" s="37"/>
      <c r="QUS24" s="37"/>
      <c r="QUT24" s="37"/>
      <c r="QUU24" s="37"/>
      <c r="QUV24" s="37"/>
      <c r="QUW24" s="37"/>
      <c r="QUX24" s="37"/>
      <c r="QUY24" s="37"/>
      <c r="QUZ24" s="37"/>
      <c r="QVA24" s="37"/>
      <c r="QVB24" s="37"/>
      <c r="QVC24" s="37"/>
      <c r="QVD24" s="37"/>
      <c r="QVE24" s="37"/>
      <c r="QVF24" s="37"/>
      <c r="QVG24" s="37"/>
      <c r="QVH24" s="37"/>
      <c r="QVI24" s="37"/>
      <c r="QVJ24" s="37"/>
      <c r="QVK24" s="37"/>
      <c r="QVL24" s="37"/>
      <c r="QVM24" s="37"/>
      <c r="QVN24" s="37"/>
      <c r="QVO24" s="37"/>
      <c r="QVP24" s="37"/>
      <c r="QVQ24" s="37"/>
      <c r="QVR24" s="37"/>
      <c r="QVS24" s="37"/>
      <c r="QVT24" s="37"/>
      <c r="QVU24" s="37"/>
      <c r="QVV24" s="37"/>
      <c r="QVW24" s="37"/>
      <c r="QVX24" s="37"/>
      <c r="QVY24" s="37"/>
      <c r="QVZ24" s="37"/>
      <c r="QWA24" s="37"/>
      <c r="QWB24" s="37"/>
      <c r="QWC24" s="37"/>
      <c r="QWD24" s="37"/>
      <c r="QWE24" s="37"/>
      <c r="QWF24" s="37"/>
      <c r="QWG24" s="37"/>
      <c r="QWH24" s="37"/>
      <c r="QWI24" s="37"/>
      <c r="QWJ24" s="37"/>
      <c r="QWK24" s="37"/>
      <c r="QWL24" s="37"/>
      <c r="QWM24" s="37"/>
      <c r="QWN24" s="37"/>
      <c r="QWO24" s="37"/>
      <c r="QWP24" s="37"/>
      <c r="QWQ24" s="37"/>
      <c r="QWR24" s="37"/>
      <c r="QWS24" s="37"/>
      <c r="QWT24" s="37"/>
      <c r="QWU24" s="37"/>
      <c r="QWV24" s="37"/>
      <c r="QWW24" s="37"/>
      <c r="QWX24" s="37"/>
      <c r="QWY24" s="37"/>
      <c r="QWZ24" s="37"/>
      <c r="QXA24" s="37"/>
      <c r="QXB24" s="37"/>
      <c r="QXC24" s="37"/>
      <c r="QXD24" s="37"/>
      <c r="QXE24" s="37"/>
      <c r="QXF24" s="37"/>
      <c r="QXG24" s="37"/>
      <c r="QXH24" s="37"/>
      <c r="QXI24" s="37"/>
      <c r="QXJ24" s="37"/>
      <c r="QXK24" s="37"/>
      <c r="QXL24" s="37"/>
      <c r="QXM24" s="37"/>
      <c r="QXN24" s="37"/>
      <c r="QXO24" s="37"/>
      <c r="QXP24" s="37"/>
      <c r="QXQ24" s="37"/>
      <c r="QXR24" s="37"/>
      <c r="QXS24" s="37"/>
      <c r="QXT24" s="37"/>
      <c r="QXU24" s="37"/>
      <c r="QXV24" s="37"/>
      <c r="QXW24" s="37"/>
      <c r="QXX24" s="37"/>
      <c r="QXY24" s="37"/>
      <c r="QXZ24" s="37"/>
      <c r="QYA24" s="37"/>
      <c r="QYB24" s="37"/>
      <c r="QYC24" s="37"/>
      <c r="QYD24" s="37"/>
      <c r="QYE24" s="37"/>
      <c r="QYF24" s="37"/>
      <c r="QYG24" s="37"/>
      <c r="QYH24" s="37"/>
      <c r="QYI24" s="37"/>
      <c r="QYJ24" s="37"/>
      <c r="QYK24" s="37"/>
      <c r="QYL24" s="37"/>
      <c r="QYM24" s="37"/>
      <c r="QYN24" s="37"/>
      <c r="QYO24" s="37"/>
      <c r="QYP24" s="37"/>
      <c r="QYQ24" s="37"/>
      <c r="QYR24" s="37"/>
      <c r="QYS24" s="37"/>
      <c r="QYT24" s="37"/>
      <c r="QYU24" s="37"/>
      <c r="QYV24" s="37"/>
      <c r="QYW24" s="37"/>
      <c r="QYX24" s="37"/>
      <c r="QYY24" s="37"/>
      <c r="QYZ24" s="37"/>
      <c r="QZA24" s="37"/>
      <c r="QZB24" s="37"/>
      <c r="QZC24" s="37"/>
      <c r="QZD24" s="37"/>
      <c r="QZE24" s="37"/>
      <c r="QZF24" s="37"/>
      <c r="QZG24" s="37"/>
      <c r="QZH24" s="37"/>
      <c r="QZI24" s="37"/>
      <c r="QZJ24" s="37"/>
      <c r="QZK24" s="37"/>
      <c r="QZL24" s="37"/>
      <c r="QZM24" s="37"/>
      <c r="QZN24" s="37"/>
      <c r="QZO24" s="37"/>
      <c r="QZP24" s="37"/>
      <c r="QZQ24" s="37"/>
      <c r="QZR24" s="37"/>
      <c r="QZS24" s="37"/>
      <c r="QZT24" s="37"/>
      <c r="QZU24" s="37"/>
      <c r="QZV24" s="37"/>
      <c r="QZW24" s="37"/>
      <c r="QZX24" s="37"/>
      <c r="QZY24" s="37"/>
      <c r="QZZ24" s="37"/>
      <c r="RAA24" s="37"/>
      <c r="RAB24" s="37"/>
      <c r="RAC24" s="37"/>
      <c r="RAD24" s="37"/>
      <c r="RAE24" s="37"/>
      <c r="RAF24" s="37"/>
      <c r="RAG24" s="37"/>
      <c r="RAH24" s="37"/>
      <c r="RAI24" s="37"/>
      <c r="RAJ24" s="37"/>
      <c r="RAK24" s="37"/>
      <c r="RAL24" s="37"/>
      <c r="RAM24" s="37"/>
      <c r="RAN24" s="37"/>
      <c r="RAO24" s="37"/>
      <c r="RAP24" s="37"/>
      <c r="RAQ24" s="37"/>
      <c r="RAR24" s="37"/>
      <c r="RAS24" s="37"/>
      <c r="RAT24" s="37"/>
      <c r="RAU24" s="37"/>
      <c r="RAV24" s="37"/>
      <c r="RAW24" s="37"/>
      <c r="RAX24" s="37"/>
      <c r="RAY24" s="37"/>
      <c r="RAZ24" s="37"/>
      <c r="RBA24" s="37"/>
      <c r="RBB24" s="37"/>
      <c r="RBC24" s="37"/>
      <c r="RBD24" s="37"/>
      <c r="RBE24" s="37"/>
      <c r="RBF24" s="37"/>
      <c r="RBG24" s="37"/>
      <c r="RBH24" s="37"/>
      <c r="RBI24" s="37"/>
      <c r="RBJ24" s="37"/>
      <c r="RBK24" s="37"/>
      <c r="RBL24" s="37"/>
      <c r="RBM24" s="37"/>
      <c r="RBN24" s="37"/>
      <c r="RBO24" s="37"/>
      <c r="RBP24" s="37"/>
      <c r="RBQ24" s="37"/>
      <c r="RBR24" s="37"/>
      <c r="RBS24" s="37"/>
      <c r="RBT24" s="37"/>
      <c r="RBU24" s="37"/>
      <c r="RBV24" s="37"/>
      <c r="RBW24" s="37"/>
      <c r="RBX24" s="37"/>
      <c r="RBY24" s="37"/>
      <c r="RBZ24" s="37"/>
      <c r="RCA24" s="37"/>
      <c r="RCB24" s="37"/>
      <c r="RCC24" s="37"/>
      <c r="RCD24" s="37"/>
      <c r="RCE24" s="37"/>
      <c r="RCF24" s="37"/>
      <c r="RCG24" s="37"/>
      <c r="RCH24" s="37"/>
      <c r="RCI24" s="37"/>
      <c r="RCJ24" s="37"/>
      <c r="RCK24" s="37"/>
      <c r="RCL24" s="37"/>
      <c r="RCM24" s="37"/>
      <c r="RCN24" s="37"/>
      <c r="RCO24" s="37"/>
      <c r="RCP24" s="37"/>
      <c r="RCQ24" s="37"/>
      <c r="RCR24" s="37"/>
      <c r="RCS24" s="37"/>
      <c r="RCT24" s="37"/>
      <c r="RCU24" s="37"/>
      <c r="RCV24" s="37"/>
      <c r="RCW24" s="37"/>
      <c r="RCX24" s="37"/>
      <c r="RCY24" s="37"/>
      <c r="RCZ24" s="37"/>
      <c r="RDA24" s="37"/>
      <c r="RDB24" s="37"/>
      <c r="RDC24" s="37"/>
      <c r="RDD24" s="37"/>
      <c r="RDE24" s="37"/>
      <c r="RDF24" s="37"/>
      <c r="RDG24" s="37"/>
      <c r="RDH24" s="37"/>
      <c r="RDI24" s="37"/>
      <c r="RDJ24" s="37"/>
      <c r="RDK24" s="37"/>
      <c r="RDL24" s="37"/>
      <c r="RDM24" s="37"/>
      <c r="RDN24" s="37"/>
      <c r="RDO24" s="37"/>
      <c r="RDP24" s="37"/>
      <c r="RDQ24" s="37"/>
      <c r="RDR24" s="37"/>
      <c r="RDS24" s="37"/>
      <c r="RDT24" s="37"/>
      <c r="RDU24" s="37"/>
      <c r="RDV24" s="37"/>
      <c r="RDW24" s="37"/>
      <c r="RDX24" s="37"/>
      <c r="RDY24" s="37"/>
      <c r="RDZ24" s="37"/>
      <c r="REA24" s="37"/>
      <c r="REB24" s="37"/>
      <c r="REC24" s="37"/>
      <c r="RED24" s="37"/>
      <c r="REE24" s="37"/>
      <c r="REF24" s="37"/>
      <c r="REG24" s="37"/>
      <c r="REH24" s="37"/>
      <c r="REI24" s="37"/>
      <c r="REJ24" s="37"/>
      <c r="REK24" s="37"/>
      <c r="REL24" s="37"/>
      <c r="REM24" s="37"/>
      <c r="REN24" s="37"/>
      <c r="REO24" s="37"/>
      <c r="REP24" s="37"/>
      <c r="REQ24" s="37"/>
      <c r="RER24" s="37"/>
      <c r="RES24" s="37"/>
      <c r="RET24" s="37"/>
      <c r="REU24" s="37"/>
      <c r="REV24" s="37"/>
      <c r="REW24" s="37"/>
      <c r="REX24" s="37"/>
      <c r="REY24" s="37"/>
      <c r="REZ24" s="37"/>
      <c r="RFA24" s="37"/>
      <c r="RFB24" s="37"/>
      <c r="RFC24" s="37"/>
      <c r="RFD24" s="37"/>
      <c r="RFE24" s="37"/>
      <c r="RFF24" s="37"/>
      <c r="RFG24" s="37"/>
      <c r="RFH24" s="37"/>
      <c r="RFI24" s="37"/>
      <c r="RFJ24" s="37"/>
      <c r="RFK24" s="37"/>
      <c r="RFL24" s="37"/>
      <c r="RFM24" s="37"/>
      <c r="RFN24" s="37"/>
      <c r="RFO24" s="37"/>
      <c r="RFP24" s="37"/>
      <c r="RFQ24" s="37"/>
      <c r="RFR24" s="37"/>
      <c r="RFS24" s="37"/>
      <c r="RFT24" s="37"/>
      <c r="RFU24" s="37"/>
      <c r="RFV24" s="37"/>
      <c r="RFW24" s="37"/>
      <c r="RFX24" s="37"/>
      <c r="RFY24" s="37"/>
      <c r="RFZ24" s="37"/>
      <c r="RGA24" s="37"/>
      <c r="RGB24" s="37"/>
      <c r="RGC24" s="37"/>
      <c r="RGD24" s="37"/>
      <c r="RGE24" s="37"/>
      <c r="RGF24" s="37"/>
      <c r="RGG24" s="37"/>
      <c r="RGH24" s="37"/>
      <c r="RGI24" s="37"/>
      <c r="RGJ24" s="37"/>
      <c r="RGK24" s="37"/>
      <c r="RGL24" s="37"/>
      <c r="RGM24" s="37"/>
      <c r="RGN24" s="37"/>
      <c r="RGO24" s="37"/>
      <c r="RGP24" s="37"/>
      <c r="RGQ24" s="37"/>
      <c r="RGR24" s="37"/>
      <c r="RGS24" s="37"/>
      <c r="RGT24" s="37"/>
      <c r="RGU24" s="37"/>
      <c r="RGV24" s="37"/>
      <c r="RGW24" s="37"/>
      <c r="RGX24" s="37"/>
      <c r="RGY24" s="37"/>
      <c r="RGZ24" s="37"/>
      <c r="RHA24" s="37"/>
      <c r="RHB24" s="37"/>
      <c r="RHC24" s="37"/>
      <c r="RHD24" s="37"/>
      <c r="RHE24" s="37"/>
      <c r="RHF24" s="37"/>
      <c r="RHG24" s="37"/>
      <c r="RHH24" s="37"/>
      <c r="RHI24" s="37"/>
      <c r="RHJ24" s="37"/>
      <c r="RHK24" s="37"/>
      <c r="RHL24" s="37"/>
      <c r="RHM24" s="37"/>
      <c r="RHN24" s="37"/>
      <c r="RHO24" s="37"/>
      <c r="RHP24" s="37"/>
      <c r="RHQ24" s="37"/>
      <c r="RHR24" s="37"/>
      <c r="RHS24" s="37"/>
      <c r="RHT24" s="37"/>
      <c r="RHU24" s="37"/>
      <c r="RHV24" s="37"/>
      <c r="RHW24" s="37"/>
      <c r="RHX24" s="37"/>
      <c r="RHY24" s="37"/>
      <c r="RHZ24" s="37"/>
      <c r="RIA24" s="37"/>
      <c r="RIB24" s="37"/>
      <c r="RIC24" s="37"/>
      <c r="RID24" s="37"/>
      <c r="RIE24" s="37"/>
      <c r="RIF24" s="37"/>
      <c r="RIG24" s="37"/>
      <c r="RIH24" s="37"/>
      <c r="RII24" s="37"/>
      <c r="RIJ24" s="37"/>
      <c r="RIK24" s="37"/>
      <c r="RIL24" s="37"/>
      <c r="RIM24" s="37"/>
      <c r="RIN24" s="37"/>
      <c r="RIO24" s="37"/>
      <c r="RIP24" s="37"/>
      <c r="RIQ24" s="37"/>
      <c r="RIR24" s="37"/>
      <c r="RIS24" s="37"/>
      <c r="RIT24" s="37"/>
      <c r="RIU24" s="37"/>
      <c r="RIV24" s="37"/>
      <c r="RIW24" s="37"/>
      <c r="RIX24" s="37"/>
      <c r="RIY24" s="37"/>
      <c r="RIZ24" s="37"/>
      <c r="RJA24" s="37"/>
      <c r="RJB24" s="37"/>
      <c r="RJC24" s="37"/>
      <c r="RJD24" s="37"/>
      <c r="RJE24" s="37"/>
      <c r="RJF24" s="37"/>
      <c r="RJG24" s="37"/>
      <c r="RJH24" s="37"/>
      <c r="RJI24" s="37"/>
      <c r="RJJ24" s="37"/>
      <c r="RJK24" s="37"/>
      <c r="RJL24" s="37"/>
      <c r="RJM24" s="37"/>
      <c r="RJN24" s="37"/>
      <c r="RJO24" s="37"/>
      <c r="RJP24" s="37"/>
      <c r="RJQ24" s="37"/>
      <c r="RJR24" s="37"/>
      <c r="RJS24" s="37"/>
      <c r="RJT24" s="37"/>
      <c r="RJU24" s="37"/>
      <c r="RJV24" s="37"/>
      <c r="RJW24" s="37"/>
      <c r="RJX24" s="37"/>
      <c r="RJY24" s="37"/>
      <c r="RJZ24" s="37"/>
      <c r="RKA24" s="37"/>
      <c r="RKB24" s="37"/>
      <c r="RKC24" s="37"/>
      <c r="RKD24" s="37"/>
      <c r="RKE24" s="37"/>
      <c r="RKF24" s="37"/>
      <c r="RKG24" s="37"/>
      <c r="RKH24" s="37"/>
      <c r="RKI24" s="37"/>
      <c r="RKJ24" s="37"/>
      <c r="RKK24" s="37"/>
      <c r="RKL24" s="37"/>
      <c r="RKM24" s="37"/>
      <c r="RKN24" s="37"/>
      <c r="RKO24" s="37"/>
      <c r="RKP24" s="37"/>
      <c r="RKQ24" s="37"/>
      <c r="RKR24" s="37"/>
      <c r="RKS24" s="37"/>
      <c r="RKT24" s="37"/>
      <c r="RKU24" s="37"/>
      <c r="RKV24" s="37"/>
      <c r="RKW24" s="37"/>
      <c r="RKX24" s="37"/>
      <c r="RKY24" s="37"/>
      <c r="RKZ24" s="37"/>
      <c r="RLA24" s="37"/>
      <c r="RLB24" s="37"/>
      <c r="RLC24" s="37"/>
      <c r="RLD24" s="37"/>
      <c r="RLE24" s="37"/>
      <c r="RLF24" s="37"/>
      <c r="RLG24" s="37"/>
      <c r="RLH24" s="37"/>
      <c r="RLI24" s="37"/>
      <c r="RLJ24" s="37"/>
      <c r="RLK24" s="37"/>
      <c r="RLL24" s="37"/>
      <c r="RLM24" s="37"/>
      <c r="RLN24" s="37"/>
      <c r="RLO24" s="37"/>
      <c r="RLP24" s="37"/>
      <c r="RLQ24" s="37"/>
      <c r="RLR24" s="37"/>
      <c r="RLS24" s="37"/>
      <c r="RLT24" s="37"/>
      <c r="RLU24" s="37"/>
      <c r="RLV24" s="37"/>
      <c r="RLW24" s="37"/>
      <c r="RLX24" s="37"/>
      <c r="RLY24" s="37"/>
      <c r="RLZ24" s="37"/>
      <c r="RMA24" s="37"/>
      <c r="RMB24" s="37"/>
      <c r="RMC24" s="37"/>
      <c r="RMD24" s="37"/>
      <c r="RME24" s="37"/>
      <c r="RMF24" s="37"/>
      <c r="RMG24" s="37"/>
      <c r="RMH24" s="37"/>
      <c r="RMI24" s="37"/>
      <c r="RMJ24" s="37"/>
      <c r="RMK24" s="37"/>
      <c r="RML24" s="37"/>
      <c r="RMM24" s="37"/>
      <c r="RMN24" s="37"/>
      <c r="RMO24" s="37"/>
      <c r="RMP24" s="37"/>
      <c r="RMQ24" s="37"/>
      <c r="RMR24" s="37"/>
      <c r="RMS24" s="37"/>
      <c r="RMT24" s="37"/>
      <c r="RMU24" s="37"/>
      <c r="RMV24" s="37"/>
      <c r="RMW24" s="37"/>
      <c r="RMX24" s="37"/>
      <c r="RMY24" s="37"/>
      <c r="RMZ24" s="37"/>
      <c r="RNA24" s="37"/>
      <c r="RNB24" s="37"/>
      <c r="RNC24" s="37"/>
      <c r="RND24" s="37"/>
      <c r="RNE24" s="37"/>
      <c r="RNF24" s="37"/>
      <c r="RNG24" s="37"/>
      <c r="RNH24" s="37"/>
      <c r="RNI24" s="37"/>
      <c r="RNJ24" s="37"/>
      <c r="RNK24" s="37"/>
      <c r="RNL24" s="37"/>
      <c r="RNM24" s="37"/>
      <c r="RNN24" s="37"/>
      <c r="RNO24" s="37"/>
      <c r="RNP24" s="37"/>
      <c r="RNQ24" s="37"/>
      <c r="RNR24" s="37"/>
      <c r="RNS24" s="37"/>
      <c r="RNT24" s="37"/>
      <c r="RNU24" s="37"/>
      <c r="RNV24" s="37"/>
      <c r="RNW24" s="37"/>
      <c r="RNX24" s="37"/>
      <c r="RNY24" s="37"/>
      <c r="RNZ24" s="37"/>
      <c r="ROA24" s="37"/>
      <c r="ROB24" s="37"/>
      <c r="ROC24" s="37"/>
      <c r="ROD24" s="37"/>
      <c r="ROE24" s="37"/>
      <c r="ROF24" s="37"/>
      <c r="ROG24" s="37"/>
      <c r="ROH24" s="37"/>
      <c r="ROI24" s="37"/>
      <c r="ROJ24" s="37"/>
      <c r="ROK24" s="37"/>
      <c r="ROL24" s="37"/>
      <c r="ROM24" s="37"/>
      <c r="RON24" s="37"/>
      <c r="ROO24" s="37"/>
      <c r="ROP24" s="37"/>
      <c r="ROQ24" s="37"/>
      <c r="ROR24" s="37"/>
      <c r="ROS24" s="37"/>
      <c r="ROT24" s="37"/>
      <c r="ROU24" s="37"/>
      <c r="ROV24" s="37"/>
      <c r="ROW24" s="37"/>
      <c r="ROX24" s="37"/>
      <c r="ROY24" s="37"/>
      <c r="ROZ24" s="37"/>
      <c r="RPA24" s="37"/>
      <c r="RPB24" s="37"/>
      <c r="RPC24" s="37"/>
      <c r="RPD24" s="37"/>
      <c r="RPE24" s="37"/>
      <c r="RPF24" s="37"/>
      <c r="RPG24" s="37"/>
      <c r="RPH24" s="37"/>
      <c r="RPI24" s="37"/>
      <c r="RPJ24" s="37"/>
      <c r="RPK24" s="37"/>
      <c r="RPL24" s="37"/>
      <c r="RPM24" s="37"/>
      <c r="RPN24" s="37"/>
      <c r="RPO24" s="37"/>
      <c r="RPP24" s="37"/>
      <c r="RPQ24" s="37"/>
      <c r="RPR24" s="37"/>
      <c r="RPS24" s="37"/>
      <c r="RPT24" s="37"/>
      <c r="RPU24" s="37"/>
      <c r="RPV24" s="37"/>
      <c r="RPW24" s="37"/>
      <c r="RPX24" s="37"/>
      <c r="RPY24" s="37"/>
      <c r="RPZ24" s="37"/>
      <c r="RQA24" s="37"/>
      <c r="RQB24" s="37"/>
      <c r="RQC24" s="37"/>
      <c r="RQD24" s="37"/>
      <c r="RQE24" s="37"/>
      <c r="RQF24" s="37"/>
      <c r="RQG24" s="37"/>
      <c r="RQH24" s="37"/>
      <c r="RQI24" s="37"/>
      <c r="RQJ24" s="37"/>
      <c r="RQK24" s="37"/>
      <c r="RQL24" s="37"/>
      <c r="RQM24" s="37"/>
      <c r="RQN24" s="37"/>
      <c r="RQO24" s="37"/>
      <c r="RQP24" s="37"/>
      <c r="RQQ24" s="37"/>
      <c r="RQR24" s="37"/>
      <c r="RQS24" s="37"/>
      <c r="RQT24" s="37"/>
      <c r="RQU24" s="37"/>
      <c r="RQV24" s="37"/>
      <c r="RQW24" s="37"/>
      <c r="RQX24" s="37"/>
      <c r="RQY24" s="37"/>
      <c r="RQZ24" s="37"/>
      <c r="RRA24" s="37"/>
      <c r="RRB24" s="37"/>
      <c r="RRC24" s="37"/>
      <c r="RRD24" s="37"/>
      <c r="RRE24" s="37"/>
      <c r="RRF24" s="37"/>
      <c r="RRG24" s="37"/>
      <c r="RRH24" s="37"/>
      <c r="RRI24" s="37"/>
      <c r="RRJ24" s="37"/>
      <c r="RRK24" s="37"/>
      <c r="RRL24" s="37"/>
      <c r="RRM24" s="37"/>
      <c r="RRN24" s="37"/>
      <c r="RRO24" s="37"/>
      <c r="RRP24" s="37"/>
      <c r="RRQ24" s="37"/>
      <c r="RRR24" s="37"/>
      <c r="RRS24" s="37"/>
      <c r="RRT24" s="37"/>
      <c r="RRU24" s="37"/>
      <c r="RRV24" s="37"/>
      <c r="RRW24" s="37"/>
      <c r="RRX24" s="37"/>
      <c r="RRY24" s="37"/>
      <c r="RRZ24" s="37"/>
      <c r="RSA24" s="37"/>
      <c r="RSB24" s="37"/>
      <c r="RSC24" s="37"/>
      <c r="RSD24" s="37"/>
      <c r="RSE24" s="37"/>
      <c r="RSF24" s="37"/>
      <c r="RSG24" s="37"/>
      <c r="RSH24" s="37"/>
      <c r="RSI24" s="37"/>
      <c r="RSJ24" s="37"/>
      <c r="RSK24" s="37"/>
      <c r="RSL24" s="37"/>
      <c r="RSM24" s="37"/>
      <c r="RSN24" s="37"/>
      <c r="RSO24" s="37"/>
      <c r="RSP24" s="37"/>
      <c r="RSQ24" s="37"/>
      <c r="RSR24" s="37"/>
      <c r="RSS24" s="37"/>
      <c r="RST24" s="37"/>
      <c r="RSU24" s="37"/>
      <c r="RSV24" s="37"/>
      <c r="RSW24" s="37"/>
      <c r="RSX24" s="37"/>
      <c r="RSY24" s="37"/>
      <c r="RSZ24" s="37"/>
      <c r="RTA24" s="37"/>
      <c r="RTB24" s="37"/>
      <c r="RTC24" s="37"/>
      <c r="RTD24" s="37"/>
      <c r="RTE24" s="37"/>
      <c r="RTF24" s="37"/>
      <c r="RTG24" s="37"/>
      <c r="RTH24" s="37"/>
      <c r="RTI24" s="37"/>
      <c r="RTJ24" s="37"/>
      <c r="RTK24" s="37"/>
      <c r="RTL24" s="37"/>
      <c r="RTM24" s="37"/>
      <c r="RTN24" s="37"/>
      <c r="RTO24" s="37"/>
      <c r="RTP24" s="37"/>
      <c r="RTQ24" s="37"/>
      <c r="RTR24" s="37"/>
      <c r="RTS24" s="37"/>
      <c r="RTT24" s="37"/>
      <c r="RTU24" s="37"/>
      <c r="RTV24" s="37"/>
      <c r="RTW24" s="37"/>
      <c r="RTX24" s="37"/>
      <c r="RTY24" s="37"/>
      <c r="RTZ24" s="37"/>
      <c r="RUA24" s="37"/>
      <c r="RUB24" s="37"/>
      <c r="RUC24" s="37"/>
      <c r="RUD24" s="37"/>
      <c r="RUE24" s="37"/>
      <c r="RUF24" s="37"/>
      <c r="RUG24" s="37"/>
      <c r="RUH24" s="37"/>
      <c r="RUI24" s="37"/>
      <c r="RUJ24" s="37"/>
      <c r="RUK24" s="37"/>
      <c r="RUL24" s="37"/>
      <c r="RUM24" s="37"/>
      <c r="RUN24" s="37"/>
      <c r="RUO24" s="37"/>
      <c r="RUP24" s="37"/>
      <c r="RUQ24" s="37"/>
      <c r="RUR24" s="37"/>
      <c r="RUS24" s="37"/>
      <c r="RUT24" s="37"/>
      <c r="RUU24" s="37"/>
      <c r="RUV24" s="37"/>
      <c r="RUW24" s="37"/>
      <c r="RUX24" s="37"/>
      <c r="RUY24" s="37"/>
      <c r="RUZ24" s="37"/>
      <c r="RVA24" s="37"/>
      <c r="RVB24" s="37"/>
      <c r="RVC24" s="37"/>
      <c r="RVD24" s="37"/>
      <c r="RVE24" s="37"/>
      <c r="RVF24" s="37"/>
      <c r="RVG24" s="37"/>
      <c r="RVH24" s="37"/>
      <c r="RVI24" s="37"/>
      <c r="RVJ24" s="37"/>
      <c r="RVK24" s="37"/>
      <c r="RVL24" s="37"/>
      <c r="RVM24" s="37"/>
      <c r="RVN24" s="37"/>
      <c r="RVO24" s="37"/>
      <c r="RVP24" s="37"/>
      <c r="RVQ24" s="37"/>
      <c r="RVR24" s="37"/>
      <c r="RVS24" s="37"/>
      <c r="RVT24" s="37"/>
      <c r="RVU24" s="37"/>
      <c r="RVV24" s="37"/>
      <c r="RVW24" s="37"/>
      <c r="RVX24" s="37"/>
      <c r="RVY24" s="37"/>
      <c r="RVZ24" s="37"/>
      <c r="RWA24" s="37"/>
      <c r="RWB24" s="37"/>
      <c r="RWC24" s="37"/>
      <c r="RWD24" s="37"/>
      <c r="RWE24" s="37"/>
      <c r="RWF24" s="37"/>
      <c r="RWG24" s="37"/>
      <c r="RWH24" s="37"/>
      <c r="RWI24" s="37"/>
      <c r="RWJ24" s="37"/>
      <c r="RWK24" s="37"/>
      <c r="RWL24" s="37"/>
      <c r="RWM24" s="37"/>
      <c r="RWN24" s="37"/>
      <c r="RWO24" s="37"/>
      <c r="RWP24" s="37"/>
      <c r="RWQ24" s="37"/>
      <c r="RWR24" s="37"/>
      <c r="RWS24" s="37"/>
      <c r="RWT24" s="37"/>
      <c r="RWU24" s="37"/>
      <c r="RWV24" s="37"/>
      <c r="RWW24" s="37"/>
      <c r="RWX24" s="37"/>
      <c r="RWY24" s="37"/>
      <c r="RWZ24" s="37"/>
      <c r="RXA24" s="37"/>
      <c r="RXB24" s="37"/>
      <c r="RXC24" s="37"/>
      <c r="RXD24" s="37"/>
      <c r="RXE24" s="37"/>
      <c r="RXF24" s="37"/>
      <c r="RXG24" s="37"/>
      <c r="RXH24" s="37"/>
      <c r="RXI24" s="37"/>
      <c r="RXJ24" s="37"/>
      <c r="RXK24" s="37"/>
      <c r="RXL24" s="37"/>
      <c r="RXM24" s="37"/>
      <c r="RXN24" s="37"/>
      <c r="RXO24" s="37"/>
      <c r="RXP24" s="37"/>
      <c r="RXQ24" s="37"/>
      <c r="RXR24" s="37"/>
      <c r="RXS24" s="37"/>
      <c r="RXT24" s="37"/>
      <c r="RXU24" s="37"/>
      <c r="RXV24" s="37"/>
      <c r="RXW24" s="37"/>
      <c r="RXX24" s="37"/>
      <c r="RXY24" s="37"/>
      <c r="RXZ24" s="37"/>
      <c r="RYA24" s="37"/>
      <c r="RYB24" s="37"/>
      <c r="RYC24" s="37"/>
      <c r="RYD24" s="37"/>
      <c r="RYE24" s="37"/>
      <c r="RYF24" s="37"/>
      <c r="RYG24" s="37"/>
      <c r="RYH24" s="37"/>
      <c r="RYI24" s="37"/>
      <c r="RYJ24" s="37"/>
      <c r="RYK24" s="37"/>
      <c r="RYL24" s="37"/>
      <c r="RYM24" s="37"/>
      <c r="RYN24" s="37"/>
      <c r="RYO24" s="37"/>
      <c r="RYP24" s="37"/>
      <c r="RYQ24" s="37"/>
      <c r="RYR24" s="37"/>
      <c r="RYS24" s="37"/>
      <c r="RYT24" s="37"/>
      <c r="RYU24" s="37"/>
      <c r="RYV24" s="37"/>
      <c r="RYW24" s="37"/>
      <c r="RYX24" s="37"/>
      <c r="RYY24" s="37"/>
      <c r="RYZ24" s="37"/>
      <c r="RZA24" s="37"/>
      <c r="RZB24" s="37"/>
      <c r="RZC24" s="37"/>
      <c r="RZD24" s="37"/>
      <c r="RZE24" s="37"/>
      <c r="RZF24" s="37"/>
      <c r="RZG24" s="37"/>
      <c r="RZH24" s="37"/>
      <c r="RZI24" s="37"/>
      <c r="RZJ24" s="37"/>
      <c r="RZK24" s="37"/>
      <c r="RZL24" s="37"/>
      <c r="RZM24" s="37"/>
      <c r="RZN24" s="37"/>
      <c r="RZO24" s="37"/>
      <c r="RZP24" s="37"/>
      <c r="RZQ24" s="37"/>
      <c r="RZR24" s="37"/>
      <c r="RZS24" s="37"/>
      <c r="RZT24" s="37"/>
      <c r="RZU24" s="37"/>
      <c r="RZV24" s="37"/>
      <c r="RZW24" s="37"/>
      <c r="RZX24" s="37"/>
      <c r="RZY24" s="37"/>
      <c r="RZZ24" s="37"/>
      <c r="SAA24" s="37"/>
      <c r="SAB24" s="37"/>
      <c r="SAC24" s="37"/>
      <c r="SAD24" s="37"/>
      <c r="SAE24" s="37"/>
      <c r="SAF24" s="37"/>
      <c r="SAG24" s="37"/>
      <c r="SAH24" s="37"/>
      <c r="SAI24" s="37"/>
      <c r="SAJ24" s="37"/>
      <c r="SAK24" s="37"/>
      <c r="SAL24" s="37"/>
      <c r="SAM24" s="37"/>
      <c r="SAN24" s="37"/>
      <c r="SAO24" s="37"/>
      <c r="SAP24" s="37"/>
      <c r="SAQ24" s="37"/>
      <c r="SAR24" s="37"/>
      <c r="SAS24" s="37"/>
      <c r="SAT24" s="37"/>
      <c r="SAU24" s="37"/>
      <c r="SAV24" s="37"/>
      <c r="SAW24" s="37"/>
      <c r="SAX24" s="37"/>
      <c r="SAY24" s="37"/>
      <c r="SAZ24" s="37"/>
      <c r="SBA24" s="37"/>
      <c r="SBB24" s="37"/>
      <c r="SBC24" s="37"/>
      <c r="SBD24" s="37"/>
      <c r="SBE24" s="37"/>
      <c r="SBF24" s="37"/>
      <c r="SBG24" s="37"/>
      <c r="SBH24" s="37"/>
      <c r="SBI24" s="37"/>
      <c r="SBJ24" s="37"/>
      <c r="SBK24" s="37"/>
      <c r="SBL24" s="37"/>
      <c r="SBM24" s="37"/>
      <c r="SBN24" s="37"/>
      <c r="SBO24" s="37"/>
      <c r="SBP24" s="37"/>
      <c r="SBQ24" s="37"/>
      <c r="SBR24" s="37"/>
      <c r="SBS24" s="37"/>
      <c r="SBT24" s="37"/>
      <c r="SBU24" s="37"/>
      <c r="SBV24" s="37"/>
      <c r="SBW24" s="37"/>
      <c r="SBX24" s="37"/>
      <c r="SBY24" s="37"/>
      <c r="SBZ24" s="37"/>
      <c r="SCA24" s="37"/>
      <c r="SCB24" s="37"/>
      <c r="SCC24" s="37"/>
      <c r="SCD24" s="37"/>
      <c r="SCE24" s="37"/>
      <c r="SCF24" s="37"/>
      <c r="SCG24" s="37"/>
      <c r="SCH24" s="37"/>
      <c r="SCI24" s="37"/>
      <c r="SCJ24" s="37"/>
      <c r="SCK24" s="37"/>
      <c r="SCL24" s="37"/>
      <c r="SCM24" s="37"/>
      <c r="SCN24" s="37"/>
      <c r="SCO24" s="37"/>
      <c r="SCP24" s="37"/>
      <c r="SCQ24" s="37"/>
      <c r="SCR24" s="37"/>
      <c r="SCS24" s="37"/>
      <c r="SCT24" s="37"/>
      <c r="SCU24" s="37"/>
      <c r="SCV24" s="37"/>
      <c r="SCW24" s="37"/>
      <c r="SCX24" s="37"/>
      <c r="SCY24" s="37"/>
      <c r="SCZ24" s="37"/>
      <c r="SDA24" s="37"/>
      <c r="SDB24" s="37"/>
      <c r="SDC24" s="37"/>
      <c r="SDD24" s="37"/>
      <c r="SDE24" s="37"/>
      <c r="SDF24" s="37"/>
      <c r="SDG24" s="37"/>
      <c r="SDH24" s="37"/>
      <c r="SDI24" s="37"/>
      <c r="SDJ24" s="37"/>
      <c r="SDK24" s="37"/>
      <c r="SDL24" s="37"/>
      <c r="SDM24" s="37"/>
      <c r="SDN24" s="37"/>
      <c r="SDO24" s="37"/>
      <c r="SDP24" s="37"/>
      <c r="SDQ24" s="37"/>
      <c r="SDR24" s="37"/>
      <c r="SDS24" s="37"/>
      <c r="SDT24" s="37"/>
      <c r="SDU24" s="37"/>
      <c r="SDV24" s="37"/>
      <c r="SDW24" s="37"/>
      <c r="SDX24" s="37"/>
      <c r="SDY24" s="37"/>
      <c r="SDZ24" s="37"/>
      <c r="SEA24" s="37"/>
      <c r="SEB24" s="37"/>
      <c r="SEC24" s="37"/>
      <c r="SED24" s="37"/>
      <c r="SEE24" s="37"/>
      <c r="SEF24" s="37"/>
      <c r="SEG24" s="37"/>
      <c r="SEH24" s="37"/>
      <c r="SEI24" s="37"/>
      <c r="SEJ24" s="37"/>
      <c r="SEK24" s="37"/>
      <c r="SEL24" s="37"/>
      <c r="SEM24" s="37"/>
      <c r="SEN24" s="37"/>
      <c r="SEO24" s="37"/>
      <c r="SEP24" s="37"/>
      <c r="SEQ24" s="37"/>
      <c r="SER24" s="37"/>
      <c r="SES24" s="37"/>
      <c r="SET24" s="37"/>
      <c r="SEU24" s="37"/>
      <c r="SEV24" s="37"/>
      <c r="SEW24" s="37"/>
      <c r="SEX24" s="37"/>
      <c r="SEY24" s="37"/>
      <c r="SEZ24" s="37"/>
      <c r="SFA24" s="37"/>
      <c r="SFB24" s="37"/>
      <c r="SFC24" s="37"/>
      <c r="SFD24" s="37"/>
      <c r="SFE24" s="37"/>
      <c r="SFF24" s="37"/>
      <c r="SFG24" s="37"/>
      <c r="SFH24" s="37"/>
      <c r="SFI24" s="37"/>
      <c r="SFJ24" s="37"/>
      <c r="SFK24" s="37"/>
      <c r="SFL24" s="37"/>
      <c r="SFM24" s="37"/>
      <c r="SFN24" s="37"/>
      <c r="SFO24" s="37"/>
      <c r="SFP24" s="37"/>
      <c r="SFQ24" s="37"/>
      <c r="SFR24" s="37"/>
      <c r="SFS24" s="37"/>
      <c r="SFT24" s="37"/>
      <c r="SFU24" s="37"/>
      <c r="SFV24" s="37"/>
      <c r="SFW24" s="37"/>
      <c r="SFX24" s="37"/>
      <c r="SFY24" s="37"/>
      <c r="SFZ24" s="37"/>
      <c r="SGA24" s="37"/>
      <c r="SGB24" s="37"/>
      <c r="SGC24" s="37"/>
      <c r="SGD24" s="37"/>
      <c r="SGE24" s="37"/>
      <c r="SGF24" s="37"/>
      <c r="SGG24" s="37"/>
      <c r="SGH24" s="37"/>
      <c r="SGI24" s="37"/>
      <c r="SGJ24" s="37"/>
      <c r="SGK24" s="37"/>
      <c r="SGL24" s="37"/>
      <c r="SGM24" s="37"/>
      <c r="SGN24" s="37"/>
      <c r="SGO24" s="37"/>
      <c r="SGP24" s="37"/>
      <c r="SGQ24" s="37"/>
      <c r="SGR24" s="37"/>
      <c r="SGS24" s="37"/>
      <c r="SGT24" s="37"/>
      <c r="SGU24" s="37"/>
      <c r="SGV24" s="37"/>
      <c r="SGW24" s="37"/>
      <c r="SGX24" s="37"/>
      <c r="SGY24" s="37"/>
      <c r="SGZ24" s="37"/>
      <c r="SHA24" s="37"/>
      <c r="SHB24" s="37"/>
      <c r="SHC24" s="37"/>
      <c r="SHD24" s="37"/>
      <c r="SHE24" s="37"/>
      <c r="SHF24" s="37"/>
      <c r="SHG24" s="37"/>
      <c r="SHH24" s="37"/>
      <c r="SHI24" s="37"/>
      <c r="SHJ24" s="37"/>
      <c r="SHK24" s="37"/>
      <c r="SHL24" s="37"/>
      <c r="SHM24" s="37"/>
      <c r="SHN24" s="37"/>
      <c r="SHO24" s="37"/>
      <c r="SHP24" s="37"/>
      <c r="SHQ24" s="37"/>
      <c r="SHR24" s="37"/>
      <c r="SHS24" s="37"/>
      <c r="SHT24" s="37"/>
      <c r="SHU24" s="37"/>
      <c r="SHV24" s="37"/>
      <c r="SHW24" s="37"/>
      <c r="SHX24" s="37"/>
      <c r="SHY24" s="37"/>
      <c r="SHZ24" s="37"/>
      <c r="SIA24" s="37"/>
      <c r="SIB24" s="37"/>
      <c r="SIC24" s="37"/>
      <c r="SID24" s="37"/>
      <c r="SIE24" s="37"/>
      <c r="SIF24" s="37"/>
      <c r="SIG24" s="37"/>
      <c r="SIH24" s="37"/>
      <c r="SII24" s="37"/>
      <c r="SIJ24" s="37"/>
      <c r="SIK24" s="37"/>
      <c r="SIL24" s="37"/>
      <c r="SIM24" s="37"/>
      <c r="SIN24" s="37"/>
      <c r="SIO24" s="37"/>
      <c r="SIP24" s="37"/>
      <c r="SIQ24" s="37"/>
      <c r="SIR24" s="37"/>
      <c r="SIS24" s="37"/>
      <c r="SIT24" s="37"/>
      <c r="SIU24" s="37"/>
      <c r="SIV24" s="37"/>
      <c r="SIW24" s="37"/>
      <c r="SIX24" s="37"/>
      <c r="SIY24" s="37"/>
      <c r="SIZ24" s="37"/>
      <c r="SJA24" s="37"/>
      <c r="SJB24" s="37"/>
      <c r="SJC24" s="37"/>
      <c r="SJD24" s="37"/>
      <c r="SJE24" s="37"/>
      <c r="SJF24" s="37"/>
      <c r="SJG24" s="37"/>
      <c r="SJH24" s="37"/>
      <c r="SJI24" s="37"/>
      <c r="SJJ24" s="37"/>
      <c r="SJK24" s="37"/>
      <c r="SJL24" s="37"/>
      <c r="SJM24" s="37"/>
      <c r="SJN24" s="37"/>
      <c r="SJO24" s="37"/>
      <c r="SJP24" s="37"/>
      <c r="SJQ24" s="37"/>
      <c r="SJR24" s="37"/>
      <c r="SJS24" s="37"/>
      <c r="SJT24" s="37"/>
      <c r="SJU24" s="37"/>
      <c r="SJV24" s="37"/>
      <c r="SJW24" s="37"/>
      <c r="SJX24" s="37"/>
      <c r="SJY24" s="37"/>
      <c r="SJZ24" s="37"/>
      <c r="SKA24" s="37"/>
      <c r="SKB24" s="37"/>
      <c r="SKC24" s="37"/>
      <c r="SKD24" s="37"/>
      <c r="SKE24" s="37"/>
      <c r="SKF24" s="37"/>
      <c r="SKG24" s="37"/>
      <c r="SKH24" s="37"/>
      <c r="SKI24" s="37"/>
      <c r="SKJ24" s="37"/>
      <c r="SKK24" s="37"/>
      <c r="SKL24" s="37"/>
      <c r="SKM24" s="37"/>
      <c r="SKN24" s="37"/>
      <c r="SKO24" s="37"/>
      <c r="SKP24" s="37"/>
      <c r="SKQ24" s="37"/>
      <c r="SKR24" s="37"/>
      <c r="SKS24" s="37"/>
      <c r="SKT24" s="37"/>
      <c r="SKU24" s="37"/>
      <c r="SKV24" s="37"/>
      <c r="SKW24" s="37"/>
      <c r="SKX24" s="37"/>
      <c r="SKY24" s="37"/>
      <c r="SKZ24" s="37"/>
      <c r="SLA24" s="37"/>
      <c r="SLB24" s="37"/>
      <c r="SLC24" s="37"/>
      <c r="SLD24" s="37"/>
      <c r="SLE24" s="37"/>
      <c r="SLF24" s="37"/>
      <c r="SLG24" s="37"/>
      <c r="SLH24" s="37"/>
      <c r="SLI24" s="37"/>
      <c r="SLJ24" s="37"/>
      <c r="SLK24" s="37"/>
      <c r="SLL24" s="37"/>
      <c r="SLM24" s="37"/>
      <c r="SLN24" s="37"/>
      <c r="SLO24" s="37"/>
      <c r="SLP24" s="37"/>
      <c r="SLQ24" s="37"/>
      <c r="SLR24" s="37"/>
      <c r="SLS24" s="37"/>
      <c r="SLT24" s="37"/>
      <c r="SLU24" s="37"/>
      <c r="SLV24" s="37"/>
      <c r="SLW24" s="37"/>
      <c r="SLX24" s="37"/>
      <c r="SLY24" s="37"/>
      <c r="SLZ24" s="37"/>
      <c r="SMA24" s="37"/>
      <c r="SMB24" s="37"/>
      <c r="SMC24" s="37"/>
      <c r="SMD24" s="37"/>
      <c r="SME24" s="37"/>
      <c r="SMF24" s="37"/>
      <c r="SMG24" s="37"/>
      <c r="SMH24" s="37"/>
      <c r="SMI24" s="37"/>
      <c r="SMJ24" s="37"/>
      <c r="SMK24" s="37"/>
      <c r="SML24" s="37"/>
      <c r="SMM24" s="37"/>
      <c r="SMN24" s="37"/>
      <c r="SMO24" s="37"/>
      <c r="SMP24" s="37"/>
      <c r="SMQ24" s="37"/>
      <c r="SMR24" s="37"/>
      <c r="SMS24" s="37"/>
      <c r="SMT24" s="37"/>
      <c r="SMU24" s="37"/>
      <c r="SMV24" s="37"/>
      <c r="SMW24" s="37"/>
      <c r="SMX24" s="37"/>
      <c r="SMY24" s="37"/>
      <c r="SMZ24" s="37"/>
      <c r="SNA24" s="37"/>
      <c r="SNB24" s="37"/>
      <c r="SNC24" s="37"/>
      <c r="SND24" s="37"/>
      <c r="SNE24" s="37"/>
      <c r="SNF24" s="37"/>
      <c r="SNG24" s="37"/>
      <c r="SNH24" s="37"/>
      <c r="SNI24" s="37"/>
      <c r="SNJ24" s="37"/>
      <c r="SNK24" s="37"/>
      <c r="SNL24" s="37"/>
      <c r="SNM24" s="37"/>
      <c r="SNN24" s="37"/>
      <c r="SNO24" s="37"/>
      <c r="SNP24" s="37"/>
      <c r="SNQ24" s="37"/>
      <c r="SNR24" s="37"/>
      <c r="SNS24" s="37"/>
      <c r="SNT24" s="37"/>
      <c r="SNU24" s="37"/>
      <c r="SNV24" s="37"/>
      <c r="SNW24" s="37"/>
      <c r="SNX24" s="37"/>
      <c r="SNY24" s="37"/>
      <c r="SNZ24" s="37"/>
      <c r="SOA24" s="37"/>
      <c r="SOB24" s="37"/>
      <c r="SOC24" s="37"/>
      <c r="SOD24" s="37"/>
      <c r="SOE24" s="37"/>
      <c r="SOF24" s="37"/>
      <c r="SOG24" s="37"/>
      <c r="SOH24" s="37"/>
      <c r="SOI24" s="37"/>
      <c r="SOJ24" s="37"/>
      <c r="SOK24" s="37"/>
      <c r="SOL24" s="37"/>
      <c r="SOM24" s="37"/>
      <c r="SON24" s="37"/>
      <c r="SOO24" s="37"/>
      <c r="SOP24" s="37"/>
      <c r="SOQ24" s="37"/>
      <c r="SOR24" s="37"/>
      <c r="SOS24" s="37"/>
      <c r="SOT24" s="37"/>
      <c r="SOU24" s="37"/>
      <c r="SOV24" s="37"/>
      <c r="SOW24" s="37"/>
      <c r="SOX24" s="37"/>
      <c r="SOY24" s="37"/>
      <c r="SOZ24" s="37"/>
      <c r="SPA24" s="37"/>
      <c r="SPB24" s="37"/>
      <c r="SPC24" s="37"/>
      <c r="SPD24" s="37"/>
      <c r="SPE24" s="37"/>
      <c r="SPF24" s="37"/>
      <c r="SPG24" s="37"/>
      <c r="SPH24" s="37"/>
      <c r="SPI24" s="37"/>
      <c r="SPJ24" s="37"/>
      <c r="SPK24" s="37"/>
      <c r="SPL24" s="37"/>
      <c r="SPM24" s="37"/>
      <c r="SPN24" s="37"/>
      <c r="SPO24" s="37"/>
      <c r="SPP24" s="37"/>
      <c r="SPQ24" s="37"/>
      <c r="SPR24" s="37"/>
      <c r="SPS24" s="37"/>
      <c r="SPT24" s="37"/>
      <c r="SPU24" s="37"/>
      <c r="SPV24" s="37"/>
      <c r="SPW24" s="37"/>
      <c r="SPX24" s="37"/>
      <c r="SPY24" s="37"/>
      <c r="SPZ24" s="37"/>
      <c r="SQA24" s="37"/>
      <c r="SQB24" s="37"/>
      <c r="SQC24" s="37"/>
      <c r="SQD24" s="37"/>
      <c r="SQE24" s="37"/>
      <c r="SQF24" s="37"/>
      <c r="SQG24" s="37"/>
      <c r="SQH24" s="37"/>
      <c r="SQI24" s="37"/>
      <c r="SQJ24" s="37"/>
      <c r="SQK24" s="37"/>
      <c r="SQL24" s="37"/>
      <c r="SQM24" s="37"/>
      <c r="SQN24" s="37"/>
      <c r="SQO24" s="37"/>
      <c r="SQP24" s="37"/>
      <c r="SQQ24" s="37"/>
      <c r="SQR24" s="37"/>
      <c r="SQS24" s="37"/>
      <c r="SQT24" s="37"/>
      <c r="SQU24" s="37"/>
      <c r="SQV24" s="37"/>
      <c r="SQW24" s="37"/>
      <c r="SQX24" s="37"/>
      <c r="SQY24" s="37"/>
      <c r="SQZ24" s="37"/>
      <c r="SRA24" s="37"/>
      <c r="SRB24" s="37"/>
      <c r="SRC24" s="37"/>
      <c r="SRD24" s="37"/>
      <c r="SRE24" s="37"/>
      <c r="SRF24" s="37"/>
      <c r="SRG24" s="37"/>
      <c r="SRH24" s="37"/>
      <c r="SRI24" s="37"/>
      <c r="SRJ24" s="37"/>
      <c r="SRK24" s="37"/>
      <c r="SRL24" s="37"/>
      <c r="SRM24" s="37"/>
      <c r="SRN24" s="37"/>
      <c r="SRO24" s="37"/>
      <c r="SRP24" s="37"/>
      <c r="SRQ24" s="37"/>
      <c r="SRR24" s="37"/>
      <c r="SRS24" s="37"/>
      <c r="SRT24" s="37"/>
      <c r="SRU24" s="37"/>
      <c r="SRV24" s="37"/>
      <c r="SRW24" s="37"/>
      <c r="SRX24" s="37"/>
      <c r="SRY24" s="37"/>
      <c r="SRZ24" s="37"/>
      <c r="SSA24" s="37"/>
      <c r="SSB24" s="37"/>
      <c r="SSC24" s="37"/>
      <c r="SSD24" s="37"/>
      <c r="SSE24" s="37"/>
      <c r="SSF24" s="37"/>
      <c r="SSG24" s="37"/>
      <c r="SSH24" s="37"/>
      <c r="SSI24" s="37"/>
      <c r="SSJ24" s="37"/>
      <c r="SSK24" s="37"/>
      <c r="SSL24" s="37"/>
      <c r="SSM24" s="37"/>
      <c r="SSN24" s="37"/>
      <c r="SSO24" s="37"/>
      <c r="SSP24" s="37"/>
      <c r="SSQ24" s="37"/>
      <c r="SSR24" s="37"/>
      <c r="SSS24" s="37"/>
      <c r="SST24" s="37"/>
      <c r="SSU24" s="37"/>
      <c r="SSV24" s="37"/>
      <c r="SSW24" s="37"/>
      <c r="SSX24" s="37"/>
      <c r="SSY24" s="37"/>
      <c r="SSZ24" s="37"/>
      <c r="STA24" s="37"/>
      <c r="STB24" s="37"/>
      <c r="STC24" s="37"/>
      <c r="STD24" s="37"/>
      <c r="STE24" s="37"/>
      <c r="STF24" s="37"/>
      <c r="STG24" s="37"/>
      <c r="STH24" s="37"/>
      <c r="STI24" s="37"/>
      <c r="STJ24" s="37"/>
      <c r="STK24" s="37"/>
      <c r="STL24" s="37"/>
      <c r="STM24" s="37"/>
      <c r="STN24" s="37"/>
      <c r="STO24" s="37"/>
      <c r="STP24" s="37"/>
      <c r="STQ24" s="37"/>
      <c r="STR24" s="37"/>
      <c r="STS24" s="37"/>
      <c r="STT24" s="37"/>
      <c r="STU24" s="37"/>
      <c r="STV24" s="37"/>
      <c r="STW24" s="37"/>
      <c r="STX24" s="37"/>
      <c r="STY24" s="37"/>
      <c r="STZ24" s="37"/>
      <c r="SUA24" s="37"/>
      <c r="SUB24" s="37"/>
      <c r="SUC24" s="37"/>
      <c r="SUD24" s="37"/>
      <c r="SUE24" s="37"/>
      <c r="SUF24" s="37"/>
      <c r="SUG24" s="37"/>
      <c r="SUH24" s="37"/>
      <c r="SUI24" s="37"/>
      <c r="SUJ24" s="37"/>
      <c r="SUK24" s="37"/>
      <c r="SUL24" s="37"/>
      <c r="SUM24" s="37"/>
      <c r="SUN24" s="37"/>
      <c r="SUO24" s="37"/>
      <c r="SUP24" s="37"/>
      <c r="SUQ24" s="37"/>
      <c r="SUR24" s="37"/>
      <c r="SUS24" s="37"/>
      <c r="SUT24" s="37"/>
      <c r="SUU24" s="37"/>
      <c r="SUV24" s="37"/>
      <c r="SUW24" s="37"/>
      <c r="SUX24" s="37"/>
      <c r="SUY24" s="37"/>
      <c r="SUZ24" s="37"/>
      <c r="SVA24" s="37"/>
      <c r="SVB24" s="37"/>
      <c r="SVC24" s="37"/>
      <c r="SVD24" s="37"/>
      <c r="SVE24" s="37"/>
      <c r="SVF24" s="37"/>
      <c r="SVG24" s="37"/>
      <c r="SVH24" s="37"/>
      <c r="SVI24" s="37"/>
      <c r="SVJ24" s="37"/>
      <c r="SVK24" s="37"/>
      <c r="SVL24" s="37"/>
      <c r="SVM24" s="37"/>
      <c r="SVN24" s="37"/>
      <c r="SVO24" s="37"/>
      <c r="SVP24" s="37"/>
      <c r="SVQ24" s="37"/>
      <c r="SVR24" s="37"/>
      <c r="SVS24" s="37"/>
      <c r="SVT24" s="37"/>
      <c r="SVU24" s="37"/>
      <c r="SVV24" s="37"/>
      <c r="SVW24" s="37"/>
      <c r="SVX24" s="37"/>
      <c r="SVY24" s="37"/>
      <c r="SVZ24" s="37"/>
      <c r="SWA24" s="37"/>
      <c r="SWB24" s="37"/>
      <c r="SWC24" s="37"/>
      <c r="SWD24" s="37"/>
      <c r="SWE24" s="37"/>
      <c r="SWF24" s="37"/>
      <c r="SWG24" s="37"/>
      <c r="SWH24" s="37"/>
      <c r="SWI24" s="37"/>
      <c r="SWJ24" s="37"/>
      <c r="SWK24" s="37"/>
      <c r="SWL24" s="37"/>
      <c r="SWM24" s="37"/>
      <c r="SWN24" s="37"/>
      <c r="SWO24" s="37"/>
      <c r="SWP24" s="37"/>
      <c r="SWQ24" s="37"/>
      <c r="SWR24" s="37"/>
      <c r="SWS24" s="37"/>
      <c r="SWT24" s="37"/>
      <c r="SWU24" s="37"/>
      <c r="SWV24" s="37"/>
      <c r="SWW24" s="37"/>
      <c r="SWX24" s="37"/>
      <c r="SWY24" s="37"/>
      <c r="SWZ24" s="37"/>
      <c r="SXA24" s="37"/>
      <c r="SXB24" s="37"/>
      <c r="SXC24" s="37"/>
      <c r="SXD24" s="37"/>
      <c r="SXE24" s="37"/>
      <c r="SXF24" s="37"/>
      <c r="SXG24" s="37"/>
      <c r="SXH24" s="37"/>
      <c r="SXI24" s="37"/>
      <c r="SXJ24" s="37"/>
      <c r="SXK24" s="37"/>
      <c r="SXL24" s="37"/>
      <c r="SXM24" s="37"/>
      <c r="SXN24" s="37"/>
      <c r="SXO24" s="37"/>
      <c r="SXP24" s="37"/>
      <c r="SXQ24" s="37"/>
      <c r="SXR24" s="37"/>
      <c r="SXS24" s="37"/>
      <c r="SXT24" s="37"/>
      <c r="SXU24" s="37"/>
      <c r="SXV24" s="37"/>
      <c r="SXW24" s="37"/>
      <c r="SXX24" s="37"/>
      <c r="SXY24" s="37"/>
      <c r="SXZ24" s="37"/>
      <c r="SYA24" s="37"/>
      <c r="SYB24" s="37"/>
      <c r="SYC24" s="37"/>
      <c r="SYD24" s="37"/>
      <c r="SYE24" s="37"/>
      <c r="SYF24" s="37"/>
      <c r="SYG24" s="37"/>
      <c r="SYH24" s="37"/>
      <c r="SYI24" s="37"/>
      <c r="SYJ24" s="37"/>
      <c r="SYK24" s="37"/>
      <c r="SYL24" s="37"/>
      <c r="SYM24" s="37"/>
      <c r="SYN24" s="37"/>
      <c r="SYO24" s="37"/>
      <c r="SYP24" s="37"/>
      <c r="SYQ24" s="37"/>
      <c r="SYR24" s="37"/>
      <c r="SYS24" s="37"/>
      <c r="SYT24" s="37"/>
      <c r="SYU24" s="37"/>
      <c r="SYV24" s="37"/>
      <c r="SYW24" s="37"/>
      <c r="SYX24" s="37"/>
      <c r="SYY24" s="37"/>
      <c r="SYZ24" s="37"/>
      <c r="SZA24" s="37"/>
      <c r="SZB24" s="37"/>
      <c r="SZC24" s="37"/>
      <c r="SZD24" s="37"/>
      <c r="SZE24" s="37"/>
      <c r="SZF24" s="37"/>
      <c r="SZG24" s="37"/>
      <c r="SZH24" s="37"/>
      <c r="SZI24" s="37"/>
      <c r="SZJ24" s="37"/>
      <c r="SZK24" s="37"/>
      <c r="SZL24" s="37"/>
      <c r="SZM24" s="37"/>
      <c r="SZN24" s="37"/>
      <c r="SZO24" s="37"/>
      <c r="SZP24" s="37"/>
      <c r="SZQ24" s="37"/>
      <c r="SZR24" s="37"/>
      <c r="SZS24" s="37"/>
      <c r="SZT24" s="37"/>
      <c r="SZU24" s="37"/>
      <c r="SZV24" s="37"/>
      <c r="SZW24" s="37"/>
      <c r="SZX24" s="37"/>
      <c r="SZY24" s="37"/>
      <c r="SZZ24" s="37"/>
      <c r="TAA24" s="37"/>
      <c r="TAB24" s="37"/>
      <c r="TAC24" s="37"/>
      <c r="TAD24" s="37"/>
      <c r="TAE24" s="37"/>
      <c r="TAF24" s="37"/>
      <c r="TAG24" s="37"/>
      <c r="TAH24" s="37"/>
      <c r="TAI24" s="37"/>
      <c r="TAJ24" s="37"/>
      <c r="TAK24" s="37"/>
      <c r="TAL24" s="37"/>
      <c r="TAM24" s="37"/>
      <c r="TAN24" s="37"/>
      <c r="TAO24" s="37"/>
      <c r="TAP24" s="37"/>
      <c r="TAQ24" s="37"/>
      <c r="TAR24" s="37"/>
      <c r="TAS24" s="37"/>
      <c r="TAT24" s="37"/>
      <c r="TAU24" s="37"/>
      <c r="TAV24" s="37"/>
      <c r="TAW24" s="37"/>
      <c r="TAX24" s="37"/>
      <c r="TAY24" s="37"/>
      <c r="TAZ24" s="37"/>
      <c r="TBA24" s="37"/>
      <c r="TBB24" s="37"/>
      <c r="TBC24" s="37"/>
      <c r="TBD24" s="37"/>
      <c r="TBE24" s="37"/>
      <c r="TBF24" s="37"/>
      <c r="TBG24" s="37"/>
      <c r="TBH24" s="37"/>
      <c r="TBI24" s="37"/>
      <c r="TBJ24" s="37"/>
      <c r="TBK24" s="37"/>
      <c r="TBL24" s="37"/>
      <c r="TBM24" s="37"/>
      <c r="TBN24" s="37"/>
      <c r="TBO24" s="37"/>
      <c r="TBP24" s="37"/>
      <c r="TBQ24" s="37"/>
      <c r="TBR24" s="37"/>
      <c r="TBS24" s="37"/>
      <c r="TBT24" s="37"/>
      <c r="TBU24" s="37"/>
      <c r="TBV24" s="37"/>
      <c r="TBW24" s="37"/>
      <c r="TBX24" s="37"/>
      <c r="TBY24" s="37"/>
      <c r="TBZ24" s="37"/>
      <c r="TCA24" s="37"/>
      <c r="TCB24" s="37"/>
      <c r="TCC24" s="37"/>
      <c r="TCD24" s="37"/>
      <c r="TCE24" s="37"/>
      <c r="TCF24" s="37"/>
      <c r="TCG24" s="37"/>
      <c r="TCH24" s="37"/>
      <c r="TCI24" s="37"/>
      <c r="TCJ24" s="37"/>
      <c r="TCK24" s="37"/>
      <c r="TCL24" s="37"/>
      <c r="TCM24" s="37"/>
      <c r="TCN24" s="37"/>
      <c r="TCO24" s="37"/>
      <c r="TCP24" s="37"/>
      <c r="TCQ24" s="37"/>
      <c r="TCR24" s="37"/>
      <c r="TCS24" s="37"/>
      <c r="TCT24" s="37"/>
      <c r="TCU24" s="37"/>
      <c r="TCV24" s="37"/>
      <c r="TCW24" s="37"/>
      <c r="TCX24" s="37"/>
      <c r="TCY24" s="37"/>
      <c r="TCZ24" s="37"/>
      <c r="TDA24" s="37"/>
      <c r="TDB24" s="37"/>
      <c r="TDC24" s="37"/>
      <c r="TDD24" s="37"/>
      <c r="TDE24" s="37"/>
      <c r="TDF24" s="37"/>
      <c r="TDG24" s="37"/>
      <c r="TDH24" s="37"/>
      <c r="TDI24" s="37"/>
      <c r="TDJ24" s="37"/>
      <c r="TDK24" s="37"/>
      <c r="TDL24" s="37"/>
      <c r="TDM24" s="37"/>
      <c r="TDN24" s="37"/>
      <c r="TDO24" s="37"/>
      <c r="TDP24" s="37"/>
      <c r="TDQ24" s="37"/>
      <c r="TDR24" s="37"/>
      <c r="TDS24" s="37"/>
      <c r="TDT24" s="37"/>
      <c r="TDU24" s="37"/>
      <c r="TDV24" s="37"/>
      <c r="TDW24" s="37"/>
      <c r="TDX24" s="37"/>
      <c r="TDY24" s="37"/>
      <c r="TDZ24" s="37"/>
      <c r="TEA24" s="37"/>
      <c r="TEB24" s="37"/>
      <c r="TEC24" s="37"/>
      <c r="TED24" s="37"/>
      <c r="TEE24" s="37"/>
      <c r="TEF24" s="37"/>
      <c r="TEG24" s="37"/>
      <c r="TEH24" s="37"/>
      <c r="TEI24" s="37"/>
      <c r="TEJ24" s="37"/>
      <c r="TEK24" s="37"/>
      <c r="TEL24" s="37"/>
      <c r="TEM24" s="37"/>
      <c r="TEN24" s="37"/>
      <c r="TEO24" s="37"/>
      <c r="TEP24" s="37"/>
      <c r="TEQ24" s="37"/>
      <c r="TER24" s="37"/>
      <c r="TES24" s="37"/>
      <c r="TET24" s="37"/>
      <c r="TEU24" s="37"/>
      <c r="TEV24" s="37"/>
      <c r="TEW24" s="37"/>
      <c r="TEX24" s="37"/>
      <c r="TEY24" s="37"/>
      <c r="TEZ24" s="37"/>
      <c r="TFA24" s="37"/>
      <c r="TFB24" s="37"/>
      <c r="TFC24" s="37"/>
      <c r="TFD24" s="37"/>
      <c r="TFE24" s="37"/>
      <c r="TFF24" s="37"/>
      <c r="TFG24" s="37"/>
      <c r="TFH24" s="37"/>
      <c r="TFI24" s="37"/>
      <c r="TFJ24" s="37"/>
      <c r="TFK24" s="37"/>
      <c r="TFL24" s="37"/>
      <c r="TFM24" s="37"/>
      <c r="TFN24" s="37"/>
      <c r="TFO24" s="37"/>
      <c r="TFP24" s="37"/>
      <c r="TFQ24" s="37"/>
      <c r="TFR24" s="37"/>
      <c r="TFS24" s="37"/>
      <c r="TFT24" s="37"/>
      <c r="TFU24" s="37"/>
      <c r="TFV24" s="37"/>
      <c r="TFW24" s="37"/>
      <c r="TFX24" s="37"/>
      <c r="TFY24" s="37"/>
      <c r="TFZ24" s="37"/>
      <c r="TGA24" s="37"/>
      <c r="TGB24" s="37"/>
      <c r="TGC24" s="37"/>
      <c r="TGD24" s="37"/>
      <c r="TGE24" s="37"/>
      <c r="TGF24" s="37"/>
      <c r="TGG24" s="37"/>
      <c r="TGH24" s="37"/>
      <c r="TGI24" s="37"/>
      <c r="TGJ24" s="37"/>
      <c r="TGK24" s="37"/>
      <c r="TGL24" s="37"/>
      <c r="TGM24" s="37"/>
      <c r="TGN24" s="37"/>
      <c r="TGO24" s="37"/>
      <c r="TGP24" s="37"/>
      <c r="TGQ24" s="37"/>
      <c r="TGR24" s="37"/>
      <c r="TGS24" s="37"/>
      <c r="TGT24" s="37"/>
      <c r="TGU24" s="37"/>
      <c r="TGV24" s="37"/>
      <c r="TGW24" s="37"/>
      <c r="TGX24" s="37"/>
      <c r="TGY24" s="37"/>
      <c r="TGZ24" s="37"/>
      <c r="THA24" s="37"/>
      <c r="THB24" s="37"/>
      <c r="THC24" s="37"/>
      <c r="THD24" s="37"/>
      <c r="THE24" s="37"/>
      <c r="THF24" s="37"/>
      <c r="THG24" s="37"/>
      <c r="THH24" s="37"/>
      <c r="THI24" s="37"/>
      <c r="THJ24" s="37"/>
      <c r="THK24" s="37"/>
      <c r="THL24" s="37"/>
      <c r="THM24" s="37"/>
      <c r="THN24" s="37"/>
      <c r="THO24" s="37"/>
      <c r="THP24" s="37"/>
      <c r="THQ24" s="37"/>
      <c r="THR24" s="37"/>
      <c r="THS24" s="37"/>
      <c r="THT24" s="37"/>
      <c r="THU24" s="37"/>
      <c r="THV24" s="37"/>
      <c r="THW24" s="37"/>
      <c r="THX24" s="37"/>
      <c r="THY24" s="37"/>
      <c r="THZ24" s="37"/>
      <c r="TIA24" s="37"/>
      <c r="TIB24" s="37"/>
      <c r="TIC24" s="37"/>
      <c r="TID24" s="37"/>
      <c r="TIE24" s="37"/>
      <c r="TIF24" s="37"/>
      <c r="TIG24" s="37"/>
      <c r="TIH24" s="37"/>
      <c r="TII24" s="37"/>
      <c r="TIJ24" s="37"/>
      <c r="TIK24" s="37"/>
      <c r="TIL24" s="37"/>
      <c r="TIM24" s="37"/>
      <c r="TIN24" s="37"/>
      <c r="TIO24" s="37"/>
      <c r="TIP24" s="37"/>
      <c r="TIQ24" s="37"/>
      <c r="TIR24" s="37"/>
      <c r="TIS24" s="37"/>
      <c r="TIT24" s="37"/>
      <c r="TIU24" s="37"/>
      <c r="TIV24" s="37"/>
      <c r="TIW24" s="37"/>
      <c r="TIX24" s="37"/>
      <c r="TIY24" s="37"/>
      <c r="TIZ24" s="37"/>
      <c r="TJA24" s="37"/>
      <c r="TJB24" s="37"/>
      <c r="TJC24" s="37"/>
      <c r="TJD24" s="37"/>
      <c r="TJE24" s="37"/>
      <c r="TJF24" s="37"/>
      <c r="TJG24" s="37"/>
      <c r="TJH24" s="37"/>
      <c r="TJI24" s="37"/>
      <c r="TJJ24" s="37"/>
      <c r="TJK24" s="37"/>
      <c r="TJL24" s="37"/>
      <c r="TJM24" s="37"/>
      <c r="TJN24" s="37"/>
      <c r="TJO24" s="37"/>
      <c r="TJP24" s="37"/>
      <c r="TJQ24" s="37"/>
      <c r="TJR24" s="37"/>
      <c r="TJS24" s="37"/>
      <c r="TJT24" s="37"/>
      <c r="TJU24" s="37"/>
      <c r="TJV24" s="37"/>
      <c r="TJW24" s="37"/>
      <c r="TJX24" s="37"/>
      <c r="TJY24" s="37"/>
      <c r="TJZ24" s="37"/>
      <c r="TKA24" s="37"/>
      <c r="TKB24" s="37"/>
      <c r="TKC24" s="37"/>
      <c r="TKD24" s="37"/>
      <c r="TKE24" s="37"/>
      <c r="TKF24" s="37"/>
      <c r="TKG24" s="37"/>
      <c r="TKH24" s="37"/>
      <c r="TKI24" s="37"/>
      <c r="TKJ24" s="37"/>
      <c r="TKK24" s="37"/>
      <c r="TKL24" s="37"/>
      <c r="TKM24" s="37"/>
      <c r="TKN24" s="37"/>
      <c r="TKO24" s="37"/>
      <c r="TKP24" s="37"/>
      <c r="TKQ24" s="37"/>
      <c r="TKR24" s="37"/>
      <c r="TKS24" s="37"/>
      <c r="TKT24" s="37"/>
      <c r="TKU24" s="37"/>
      <c r="TKV24" s="37"/>
      <c r="TKW24" s="37"/>
      <c r="TKX24" s="37"/>
      <c r="TKY24" s="37"/>
      <c r="TKZ24" s="37"/>
      <c r="TLA24" s="37"/>
      <c r="TLB24" s="37"/>
      <c r="TLC24" s="37"/>
      <c r="TLD24" s="37"/>
      <c r="TLE24" s="37"/>
      <c r="TLF24" s="37"/>
      <c r="TLG24" s="37"/>
      <c r="TLH24" s="37"/>
      <c r="TLI24" s="37"/>
      <c r="TLJ24" s="37"/>
      <c r="TLK24" s="37"/>
      <c r="TLL24" s="37"/>
      <c r="TLM24" s="37"/>
      <c r="TLN24" s="37"/>
      <c r="TLO24" s="37"/>
      <c r="TLP24" s="37"/>
      <c r="TLQ24" s="37"/>
      <c r="TLR24" s="37"/>
      <c r="TLS24" s="37"/>
      <c r="TLT24" s="37"/>
      <c r="TLU24" s="37"/>
      <c r="TLV24" s="37"/>
      <c r="TLW24" s="37"/>
      <c r="TLX24" s="37"/>
      <c r="TLY24" s="37"/>
      <c r="TLZ24" s="37"/>
      <c r="TMA24" s="37"/>
      <c r="TMB24" s="37"/>
      <c r="TMC24" s="37"/>
      <c r="TMD24" s="37"/>
      <c r="TME24" s="37"/>
      <c r="TMF24" s="37"/>
      <c r="TMG24" s="37"/>
      <c r="TMH24" s="37"/>
      <c r="TMI24" s="37"/>
      <c r="TMJ24" s="37"/>
      <c r="TMK24" s="37"/>
      <c r="TML24" s="37"/>
      <c r="TMM24" s="37"/>
      <c r="TMN24" s="37"/>
      <c r="TMO24" s="37"/>
      <c r="TMP24" s="37"/>
      <c r="TMQ24" s="37"/>
      <c r="TMR24" s="37"/>
      <c r="TMS24" s="37"/>
      <c r="TMT24" s="37"/>
      <c r="TMU24" s="37"/>
      <c r="TMV24" s="37"/>
      <c r="TMW24" s="37"/>
      <c r="TMX24" s="37"/>
      <c r="TMY24" s="37"/>
      <c r="TMZ24" s="37"/>
      <c r="TNA24" s="37"/>
      <c r="TNB24" s="37"/>
      <c r="TNC24" s="37"/>
      <c r="TND24" s="37"/>
      <c r="TNE24" s="37"/>
      <c r="TNF24" s="37"/>
      <c r="TNG24" s="37"/>
      <c r="TNH24" s="37"/>
      <c r="TNI24" s="37"/>
      <c r="TNJ24" s="37"/>
      <c r="TNK24" s="37"/>
      <c r="TNL24" s="37"/>
      <c r="TNM24" s="37"/>
      <c r="TNN24" s="37"/>
      <c r="TNO24" s="37"/>
      <c r="TNP24" s="37"/>
      <c r="TNQ24" s="37"/>
      <c r="TNR24" s="37"/>
      <c r="TNS24" s="37"/>
      <c r="TNT24" s="37"/>
      <c r="TNU24" s="37"/>
      <c r="TNV24" s="37"/>
      <c r="TNW24" s="37"/>
      <c r="TNX24" s="37"/>
      <c r="TNY24" s="37"/>
      <c r="TNZ24" s="37"/>
      <c r="TOA24" s="37"/>
      <c r="TOB24" s="37"/>
      <c r="TOC24" s="37"/>
      <c r="TOD24" s="37"/>
      <c r="TOE24" s="37"/>
      <c r="TOF24" s="37"/>
      <c r="TOG24" s="37"/>
      <c r="TOH24" s="37"/>
      <c r="TOI24" s="37"/>
      <c r="TOJ24" s="37"/>
      <c r="TOK24" s="37"/>
      <c r="TOL24" s="37"/>
      <c r="TOM24" s="37"/>
      <c r="TON24" s="37"/>
      <c r="TOO24" s="37"/>
      <c r="TOP24" s="37"/>
      <c r="TOQ24" s="37"/>
      <c r="TOR24" s="37"/>
      <c r="TOS24" s="37"/>
      <c r="TOT24" s="37"/>
      <c r="TOU24" s="37"/>
      <c r="TOV24" s="37"/>
      <c r="TOW24" s="37"/>
      <c r="TOX24" s="37"/>
      <c r="TOY24" s="37"/>
      <c r="TOZ24" s="37"/>
      <c r="TPA24" s="37"/>
      <c r="TPB24" s="37"/>
      <c r="TPC24" s="37"/>
      <c r="TPD24" s="37"/>
      <c r="TPE24" s="37"/>
      <c r="TPF24" s="37"/>
      <c r="TPG24" s="37"/>
      <c r="TPH24" s="37"/>
      <c r="TPI24" s="37"/>
      <c r="TPJ24" s="37"/>
      <c r="TPK24" s="37"/>
      <c r="TPL24" s="37"/>
      <c r="TPM24" s="37"/>
      <c r="TPN24" s="37"/>
      <c r="TPO24" s="37"/>
      <c r="TPP24" s="37"/>
      <c r="TPQ24" s="37"/>
      <c r="TPR24" s="37"/>
      <c r="TPS24" s="37"/>
      <c r="TPT24" s="37"/>
      <c r="TPU24" s="37"/>
      <c r="TPV24" s="37"/>
      <c r="TPW24" s="37"/>
      <c r="TPX24" s="37"/>
      <c r="TPY24" s="37"/>
      <c r="TPZ24" s="37"/>
      <c r="TQA24" s="37"/>
      <c r="TQB24" s="37"/>
      <c r="TQC24" s="37"/>
      <c r="TQD24" s="37"/>
      <c r="TQE24" s="37"/>
      <c r="TQF24" s="37"/>
      <c r="TQG24" s="37"/>
      <c r="TQH24" s="37"/>
      <c r="TQI24" s="37"/>
      <c r="TQJ24" s="37"/>
      <c r="TQK24" s="37"/>
      <c r="TQL24" s="37"/>
      <c r="TQM24" s="37"/>
      <c r="TQN24" s="37"/>
      <c r="TQO24" s="37"/>
      <c r="TQP24" s="37"/>
      <c r="TQQ24" s="37"/>
      <c r="TQR24" s="37"/>
      <c r="TQS24" s="37"/>
      <c r="TQT24" s="37"/>
      <c r="TQU24" s="37"/>
      <c r="TQV24" s="37"/>
      <c r="TQW24" s="37"/>
      <c r="TQX24" s="37"/>
      <c r="TQY24" s="37"/>
      <c r="TQZ24" s="37"/>
      <c r="TRA24" s="37"/>
      <c r="TRB24" s="37"/>
      <c r="TRC24" s="37"/>
      <c r="TRD24" s="37"/>
      <c r="TRE24" s="37"/>
      <c r="TRF24" s="37"/>
      <c r="TRG24" s="37"/>
      <c r="TRH24" s="37"/>
      <c r="TRI24" s="37"/>
      <c r="TRJ24" s="37"/>
      <c r="TRK24" s="37"/>
      <c r="TRL24" s="37"/>
      <c r="TRM24" s="37"/>
      <c r="TRN24" s="37"/>
      <c r="TRO24" s="37"/>
      <c r="TRP24" s="37"/>
      <c r="TRQ24" s="37"/>
      <c r="TRR24" s="37"/>
      <c r="TRS24" s="37"/>
      <c r="TRT24" s="37"/>
      <c r="TRU24" s="37"/>
      <c r="TRV24" s="37"/>
      <c r="TRW24" s="37"/>
      <c r="TRX24" s="37"/>
      <c r="TRY24" s="37"/>
      <c r="TRZ24" s="37"/>
      <c r="TSA24" s="37"/>
      <c r="TSB24" s="37"/>
      <c r="TSC24" s="37"/>
      <c r="TSD24" s="37"/>
      <c r="TSE24" s="37"/>
      <c r="TSF24" s="37"/>
      <c r="TSG24" s="37"/>
      <c r="TSH24" s="37"/>
      <c r="TSI24" s="37"/>
      <c r="TSJ24" s="37"/>
      <c r="TSK24" s="37"/>
      <c r="TSL24" s="37"/>
      <c r="TSM24" s="37"/>
      <c r="TSN24" s="37"/>
      <c r="TSO24" s="37"/>
      <c r="TSP24" s="37"/>
      <c r="TSQ24" s="37"/>
      <c r="TSR24" s="37"/>
      <c r="TSS24" s="37"/>
      <c r="TST24" s="37"/>
      <c r="TSU24" s="37"/>
      <c r="TSV24" s="37"/>
      <c r="TSW24" s="37"/>
      <c r="TSX24" s="37"/>
      <c r="TSY24" s="37"/>
      <c r="TSZ24" s="37"/>
      <c r="TTA24" s="37"/>
      <c r="TTB24" s="37"/>
      <c r="TTC24" s="37"/>
      <c r="TTD24" s="37"/>
      <c r="TTE24" s="37"/>
      <c r="TTF24" s="37"/>
      <c r="TTG24" s="37"/>
      <c r="TTH24" s="37"/>
      <c r="TTI24" s="37"/>
      <c r="TTJ24" s="37"/>
      <c r="TTK24" s="37"/>
      <c r="TTL24" s="37"/>
      <c r="TTM24" s="37"/>
      <c r="TTN24" s="37"/>
      <c r="TTO24" s="37"/>
      <c r="TTP24" s="37"/>
      <c r="TTQ24" s="37"/>
      <c r="TTR24" s="37"/>
      <c r="TTS24" s="37"/>
      <c r="TTT24" s="37"/>
      <c r="TTU24" s="37"/>
      <c r="TTV24" s="37"/>
      <c r="TTW24" s="37"/>
      <c r="TTX24" s="37"/>
      <c r="TTY24" s="37"/>
      <c r="TTZ24" s="37"/>
      <c r="TUA24" s="37"/>
      <c r="TUB24" s="37"/>
      <c r="TUC24" s="37"/>
      <c r="TUD24" s="37"/>
      <c r="TUE24" s="37"/>
      <c r="TUF24" s="37"/>
      <c r="TUG24" s="37"/>
      <c r="TUH24" s="37"/>
      <c r="TUI24" s="37"/>
      <c r="TUJ24" s="37"/>
      <c r="TUK24" s="37"/>
      <c r="TUL24" s="37"/>
      <c r="TUM24" s="37"/>
      <c r="TUN24" s="37"/>
      <c r="TUO24" s="37"/>
      <c r="TUP24" s="37"/>
      <c r="TUQ24" s="37"/>
      <c r="TUR24" s="37"/>
      <c r="TUS24" s="37"/>
      <c r="TUT24" s="37"/>
      <c r="TUU24" s="37"/>
      <c r="TUV24" s="37"/>
      <c r="TUW24" s="37"/>
      <c r="TUX24" s="37"/>
      <c r="TUY24" s="37"/>
      <c r="TUZ24" s="37"/>
      <c r="TVA24" s="37"/>
      <c r="TVB24" s="37"/>
      <c r="TVC24" s="37"/>
      <c r="TVD24" s="37"/>
      <c r="TVE24" s="37"/>
      <c r="TVF24" s="37"/>
      <c r="TVG24" s="37"/>
      <c r="TVH24" s="37"/>
      <c r="TVI24" s="37"/>
      <c r="TVJ24" s="37"/>
      <c r="TVK24" s="37"/>
      <c r="TVL24" s="37"/>
      <c r="TVM24" s="37"/>
      <c r="TVN24" s="37"/>
      <c r="TVO24" s="37"/>
      <c r="TVP24" s="37"/>
      <c r="TVQ24" s="37"/>
      <c r="TVR24" s="37"/>
      <c r="TVS24" s="37"/>
      <c r="TVT24" s="37"/>
      <c r="TVU24" s="37"/>
      <c r="TVV24" s="37"/>
      <c r="TVW24" s="37"/>
      <c r="TVX24" s="37"/>
      <c r="TVY24" s="37"/>
      <c r="TVZ24" s="37"/>
      <c r="TWA24" s="37"/>
      <c r="TWB24" s="37"/>
      <c r="TWC24" s="37"/>
      <c r="TWD24" s="37"/>
      <c r="TWE24" s="37"/>
      <c r="TWF24" s="37"/>
      <c r="TWG24" s="37"/>
      <c r="TWH24" s="37"/>
      <c r="TWI24" s="37"/>
      <c r="TWJ24" s="37"/>
      <c r="TWK24" s="37"/>
      <c r="TWL24" s="37"/>
      <c r="TWM24" s="37"/>
      <c r="TWN24" s="37"/>
      <c r="TWO24" s="37"/>
      <c r="TWP24" s="37"/>
      <c r="TWQ24" s="37"/>
      <c r="TWR24" s="37"/>
      <c r="TWS24" s="37"/>
      <c r="TWT24" s="37"/>
      <c r="TWU24" s="37"/>
      <c r="TWV24" s="37"/>
      <c r="TWW24" s="37"/>
      <c r="TWX24" s="37"/>
      <c r="TWY24" s="37"/>
      <c r="TWZ24" s="37"/>
      <c r="TXA24" s="37"/>
      <c r="TXB24" s="37"/>
      <c r="TXC24" s="37"/>
      <c r="TXD24" s="37"/>
      <c r="TXE24" s="37"/>
      <c r="TXF24" s="37"/>
      <c r="TXG24" s="37"/>
      <c r="TXH24" s="37"/>
      <c r="TXI24" s="37"/>
      <c r="TXJ24" s="37"/>
      <c r="TXK24" s="37"/>
      <c r="TXL24" s="37"/>
      <c r="TXM24" s="37"/>
      <c r="TXN24" s="37"/>
      <c r="TXO24" s="37"/>
      <c r="TXP24" s="37"/>
      <c r="TXQ24" s="37"/>
      <c r="TXR24" s="37"/>
      <c r="TXS24" s="37"/>
      <c r="TXT24" s="37"/>
      <c r="TXU24" s="37"/>
      <c r="TXV24" s="37"/>
      <c r="TXW24" s="37"/>
      <c r="TXX24" s="37"/>
      <c r="TXY24" s="37"/>
      <c r="TXZ24" s="37"/>
      <c r="TYA24" s="37"/>
      <c r="TYB24" s="37"/>
      <c r="TYC24" s="37"/>
      <c r="TYD24" s="37"/>
      <c r="TYE24" s="37"/>
      <c r="TYF24" s="37"/>
      <c r="TYG24" s="37"/>
      <c r="TYH24" s="37"/>
      <c r="TYI24" s="37"/>
      <c r="TYJ24" s="37"/>
      <c r="TYK24" s="37"/>
      <c r="TYL24" s="37"/>
      <c r="TYM24" s="37"/>
      <c r="TYN24" s="37"/>
      <c r="TYO24" s="37"/>
      <c r="TYP24" s="37"/>
      <c r="TYQ24" s="37"/>
      <c r="TYR24" s="37"/>
      <c r="TYS24" s="37"/>
      <c r="TYT24" s="37"/>
      <c r="TYU24" s="37"/>
      <c r="TYV24" s="37"/>
      <c r="TYW24" s="37"/>
      <c r="TYX24" s="37"/>
      <c r="TYY24" s="37"/>
      <c r="TYZ24" s="37"/>
      <c r="TZA24" s="37"/>
      <c r="TZB24" s="37"/>
      <c r="TZC24" s="37"/>
      <c r="TZD24" s="37"/>
      <c r="TZE24" s="37"/>
      <c r="TZF24" s="37"/>
      <c r="TZG24" s="37"/>
      <c r="TZH24" s="37"/>
      <c r="TZI24" s="37"/>
      <c r="TZJ24" s="37"/>
      <c r="TZK24" s="37"/>
      <c r="TZL24" s="37"/>
      <c r="TZM24" s="37"/>
      <c r="TZN24" s="37"/>
      <c r="TZO24" s="37"/>
      <c r="TZP24" s="37"/>
      <c r="TZQ24" s="37"/>
      <c r="TZR24" s="37"/>
      <c r="TZS24" s="37"/>
      <c r="TZT24" s="37"/>
      <c r="TZU24" s="37"/>
      <c r="TZV24" s="37"/>
      <c r="TZW24" s="37"/>
      <c r="TZX24" s="37"/>
      <c r="TZY24" s="37"/>
      <c r="TZZ24" s="37"/>
      <c r="UAA24" s="37"/>
      <c r="UAB24" s="37"/>
      <c r="UAC24" s="37"/>
      <c r="UAD24" s="37"/>
      <c r="UAE24" s="37"/>
      <c r="UAF24" s="37"/>
      <c r="UAG24" s="37"/>
      <c r="UAH24" s="37"/>
      <c r="UAI24" s="37"/>
      <c r="UAJ24" s="37"/>
      <c r="UAK24" s="37"/>
      <c r="UAL24" s="37"/>
      <c r="UAM24" s="37"/>
      <c r="UAN24" s="37"/>
      <c r="UAO24" s="37"/>
      <c r="UAP24" s="37"/>
      <c r="UAQ24" s="37"/>
      <c r="UAR24" s="37"/>
      <c r="UAS24" s="37"/>
      <c r="UAT24" s="37"/>
      <c r="UAU24" s="37"/>
      <c r="UAV24" s="37"/>
      <c r="UAW24" s="37"/>
      <c r="UAX24" s="37"/>
      <c r="UAY24" s="37"/>
      <c r="UAZ24" s="37"/>
      <c r="UBA24" s="37"/>
      <c r="UBB24" s="37"/>
      <c r="UBC24" s="37"/>
      <c r="UBD24" s="37"/>
      <c r="UBE24" s="37"/>
      <c r="UBF24" s="37"/>
      <c r="UBG24" s="37"/>
      <c r="UBH24" s="37"/>
      <c r="UBI24" s="37"/>
      <c r="UBJ24" s="37"/>
      <c r="UBK24" s="37"/>
      <c r="UBL24" s="37"/>
      <c r="UBM24" s="37"/>
      <c r="UBN24" s="37"/>
      <c r="UBO24" s="37"/>
      <c r="UBP24" s="37"/>
      <c r="UBQ24" s="37"/>
      <c r="UBR24" s="37"/>
      <c r="UBS24" s="37"/>
      <c r="UBT24" s="37"/>
      <c r="UBU24" s="37"/>
      <c r="UBV24" s="37"/>
      <c r="UBW24" s="37"/>
      <c r="UBX24" s="37"/>
      <c r="UBY24" s="37"/>
      <c r="UBZ24" s="37"/>
      <c r="UCA24" s="37"/>
      <c r="UCB24" s="37"/>
      <c r="UCC24" s="37"/>
      <c r="UCD24" s="37"/>
      <c r="UCE24" s="37"/>
      <c r="UCF24" s="37"/>
      <c r="UCG24" s="37"/>
      <c r="UCH24" s="37"/>
      <c r="UCI24" s="37"/>
      <c r="UCJ24" s="37"/>
      <c r="UCK24" s="37"/>
      <c r="UCL24" s="37"/>
      <c r="UCM24" s="37"/>
      <c r="UCN24" s="37"/>
      <c r="UCO24" s="37"/>
      <c r="UCP24" s="37"/>
      <c r="UCQ24" s="37"/>
      <c r="UCR24" s="37"/>
      <c r="UCS24" s="37"/>
      <c r="UCT24" s="37"/>
      <c r="UCU24" s="37"/>
      <c r="UCV24" s="37"/>
      <c r="UCW24" s="37"/>
      <c r="UCX24" s="37"/>
      <c r="UCY24" s="37"/>
      <c r="UCZ24" s="37"/>
      <c r="UDA24" s="37"/>
      <c r="UDB24" s="37"/>
      <c r="UDC24" s="37"/>
      <c r="UDD24" s="37"/>
      <c r="UDE24" s="37"/>
      <c r="UDF24" s="37"/>
      <c r="UDG24" s="37"/>
      <c r="UDH24" s="37"/>
      <c r="UDI24" s="37"/>
      <c r="UDJ24" s="37"/>
      <c r="UDK24" s="37"/>
      <c r="UDL24" s="37"/>
      <c r="UDM24" s="37"/>
      <c r="UDN24" s="37"/>
      <c r="UDO24" s="37"/>
      <c r="UDP24" s="37"/>
      <c r="UDQ24" s="37"/>
      <c r="UDR24" s="37"/>
      <c r="UDS24" s="37"/>
      <c r="UDT24" s="37"/>
      <c r="UDU24" s="37"/>
      <c r="UDV24" s="37"/>
      <c r="UDW24" s="37"/>
      <c r="UDX24" s="37"/>
      <c r="UDY24" s="37"/>
      <c r="UDZ24" s="37"/>
      <c r="UEA24" s="37"/>
      <c r="UEB24" s="37"/>
      <c r="UEC24" s="37"/>
      <c r="UED24" s="37"/>
      <c r="UEE24" s="37"/>
      <c r="UEF24" s="37"/>
      <c r="UEG24" s="37"/>
      <c r="UEH24" s="37"/>
      <c r="UEI24" s="37"/>
      <c r="UEJ24" s="37"/>
      <c r="UEK24" s="37"/>
      <c r="UEL24" s="37"/>
      <c r="UEM24" s="37"/>
      <c r="UEN24" s="37"/>
      <c r="UEO24" s="37"/>
      <c r="UEP24" s="37"/>
      <c r="UEQ24" s="37"/>
      <c r="UER24" s="37"/>
      <c r="UES24" s="37"/>
      <c r="UET24" s="37"/>
      <c r="UEU24" s="37"/>
      <c r="UEV24" s="37"/>
      <c r="UEW24" s="37"/>
      <c r="UEX24" s="37"/>
      <c r="UEY24" s="37"/>
      <c r="UEZ24" s="37"/>
      <c r="UFA24" s="37"/>
      <c r="UFB24" s="37"/>
      <c r="UFC24" s="37"/>
      <c r="UFD24" s="37"/>
      <c r="UFE24" s="37"/>
      <c r="UFF24" s="37"/>
      <c r="UFG24" s="37"/>
      <c r="UFH24" s="37"/>
      <c r="UFI24" s="37"/>
      <c r="UFJ24" s="37"/>
      <c r="UFK24" s="37"/>
      <c r="UFL24" s="37"/>
      <c r="UFM24" s="37"/>
      <c r="UFN24" s="37"/>
      <c r="UFO24" s="37"/>
      <c r="UFP24" s="37"/>
      <c r="UFQ24" s="37"/>
      <c r="UFR24" s="37"/>
      <c r="UFS24" s="37"/>
      <c r="UFT24" s="37"/>
      <c r="UFU24" s="37"/>
      <c r="UFV24" s="37"/>
      <c r="UFW24" s="37"/>
      <c r="UFX24" s="37"/>
      <c r="UFY24" s="37"/>
      <c r="UFZ24" s="37"/>
      <c r="UGA24" s="37"/>
      <c r="UGB24" s="37"/>
      <c r="UGC24" s="37"/>
      <c r="UGD24" s="37"/>
      <c r="UGE24" s="37"/>
      <c r="UGF24" s="37"/>
      <c r="UGG24" s="37"/>
      <c r="UGH24" s="37"/>
      <c r="UGI24" s="37"/>
      <c r="UGJ24" s="37"/>
      <c r="UGK24" s="37"/>
      <c r="UGL24" s="37"/>
      <c r="UGM24" s="37"/>
      <c r="UGN24" s="37"/>
      <c r="UGO24" s="37"/>
      <c r="UGP24" s="37"/>
      <c r="UGQ24" s="37"/>
      <c r="UGR24" s="37"/>
      <c r="UGS24" s="37"/>
      <c r="UGT24" s="37"/>
      <c r="UGU24" s="37"/>
      <c r="UGV24" s="37"/>
      <c r="UGW24" s="37"/>
      <c r="UGX24" s="37"/>
      <c r="UGY24" s="37"/>
      <c r="UGZ24" s="37"/>
      <c r="UHA24" s="37"/>
      <c r="UHB24" s="37"/>
      <c r="UHC24" s="37"/>
      <c r="UHD24" s="37"/>
      <c r="UHE24" s="37"/>
      <c r="UHF24" s="37"/>
      <c r="UHG24" s="37"/>
      <c r="UHH24" s="37"/>
      <c r="UHI24" s="37"/>
      <c r="UHJ24" s="37"/>
      <c r="UHK24" s="37"/>
      <c r="UHL24" s="37"/>
      <c r="UHM24" s="37"/>
      <c r="UHN24" s="37"/>
      <c r="UHO24" s="37"/>
      <c r="UHP24" s="37"/>
      <c r="UHQ24" s="37"/>
      <c r="UHR24" s="37"/>
      <c r="UHS24" s="37"/>
      <c r="UHT24" s="37"/>
      <c r="UHU24" s="37"/>
      <c r="UHV24" s="37"/>
      <c r="UHW24" s="37"/>
      <c r="UHX24" s="37"/>
      <c r="UHY24" s="37"/>
      <c r="UHZ24" s="37"/>
      <c r="UIA24" s="37"/>
      <c r="UIB24" s="37"/>
      <c r="UIC24" s="37"/>
      <c r="UID24" s="37"/>
      <c r="UIE24" s="37"/>
      <c r="UIF24" s="37"/>
      <c r="UIG24" s="37"/>
      <c r="UIH24" s="37"/>
      <c r="UII24" s="37"/>
      <c r="UIJ24" s="37"/>
      <c r="UIK24" s="37"/>
      <c r="UIL24" s="37"/>
      <c r="UIM24" s="37"/>
      <c r="UIN24" s="37"/>
      <c r="UIO24" s="37"/>
      <c r="UIP24" s="37"/>
      <c r="UIQ24" s="37"/>
      <c r="UIR24" s="37"/>
      <c r="UIS24" s="37"/>
      <c r="UIT24" s="37"/>
      <c r="UIU24" s="37"/>
      <c r="UIV24" s="37"/>
      <c r="UIW24" s="37"/>
      <c r="UIX24" s="37"/>
      <c r="UIY24" s="37"/>
      <c r="UIZ24" s="37"/>
      <c r="UJA24" s="37"/>
      <c r="UJB24" s="37"/>
      <c r="UJC24" s="37"/>
      <c r="UJD24" s="37"/>
      <c r="UJE24" s="37"/>
      <c r="UJF24" s="37"/>
      <c r="UJG24" s="37"/>
      <c r="UJH24" s="37"/>
      <c r="UJI24" s="37"/>
      <c r="UJJ24" s="37"/>
      <c r="UJK24" s="37"/>
      <c r="UJL24" s="37"/>
      <c r="UJM24" s="37"/>
      <c r="UJN24" s="37"/>
      <c r="UJO24" s="37"/>
      <c r="UJP24" s="37"/>
      <c r="UJQ24" s="37"/>
      <c r="UJR24" s="37"/>
      <c r="UJS24" s="37"/>
      <c r="UJT24" s="37"/>
      <c r="UJU24" s="37"/>
      <c r="UJV24" s="37"/>
      <c r="UJW24" s="37"/>
      <c r="UJX24" s="37"/>
      <c r="UJY24" s="37"/>
      <c r="UJZ24" s="37"/>
      <c r="UKA24" s="37"/>
      <c r="UKB24" s="37"/>
      <c r="UKC24" s="37"/>
      <c r="UKD24" s="37"/>
      <c r="UKE24" s="37"/>
      <c r="UKF24" s="37"/>
      <c r="UKG24" s="37"/>
      <c r="UKH24" s="37"/>
      <c r="UKI24" s="37"/>
      <c r="UKJ24" s="37"/>
      <c r="UKK24" s="37"/>
      <c r="UKL24" s="37"/>
      <c r="UKM24" s="37"/>
      <c r="UKN24" s="37"/>
      <c r="UKO24" s="37"/>
      <c r="UKP24" s="37"/>
      <c r="UKQ24" s="37"/>
      <c r="UKR24" s="37"/>
      <c r="UKS24" s="37"/>
      <c r="UKT24" s="37"/>
      <c r="UKU24" s="37"/>
      <c r="UKV24" s="37"/>
      <c r="UKW24" s="37"/>
      <c r="UKX24" s="37"/>
      <c r="UKY24" s="37"/>
      <c r="UKZ24" s="37"/>
      <c r="ULA24" s="37"/>
      <c r="ULB24" s="37"/>
      <c r="ULC24" s="37"/>
      <c r="ULD24" s="37"/>
      <c r="ULE24" s="37"/>
      <c r="ULF24" s="37"/>
      <c r="ULG24" s="37"/>
      <c r="ULH24" s="37"/>
      <c r="ULI24" s="37"/>
      <c r="ULJ24" s="37"/>
      <c r="ULK24" s="37"/>
      <c r="ULL24" s="37"/>
      <c r="ULM24" s="37"/>
      <c r="ULN24" s="37"/>
      <c r="ULO24" s="37"/>
      <c r="ULP24" s="37"/>
      <c r="ULQ24" s="37"/>
      <c r="ULR24" s="37"/>
      <c r="ULS24" s="37"/>
      <c r="ULT24" s="37"/>
      <c r="ULU24" s="37"/>
      <c r="ULV24" s="37"/>
      <c r="ULW24" s="37"/>
      <c r="ULX24" s="37"/>
      <c r="ULY24" s="37"/>
      <c r="ULZ24" s="37"/>
      <c r="UMA24" s="37"/>
      <c r="UMB24" s="37"/>
      <c r="UMC24" s="37"/>
      <c r="UMD24" s="37"/>
      <c r="UME24" s="37"/>
      <c r="UMF24" s="37"/>
      <c r="UMG24" s="37"/>
      <c r="UMH24" s="37"/>
      <c r="UMI24" s="37"/>
      <c r="UMJ24" s="37"/>
      <c r="UMK24" s="37"/>
      <c r="UML24" s="37"/>
      <c r="UMM24" s="37"/>
      <c r="UMN24" s="37"/>
      <c r="UMO24" s="37"/>
      <c r="UMP24" s="37"/>
      <c r="UMQ24" s="37"/>
      <c r="UMR24" s="37"/>
      <c r="UMS24" s="37"/>
      <c r="UMT24" s="37"/>
      <c r="UMU24" s="37"/>
      <c r="UMV24" s="37"/>
      <c r="UMW24" s="37"/>
      <c r="UMX24" s="37"/>
      <c r="UMY24" s="37"/>
      <c r="UMZ24" s="37"/>
      <c r="UNA24" s="37"/>
      <c r="UNB24" s="37"/>
      <c r="UNC24" s="37"/>
      <c r="UND24" s="37"/>
      <c r="UNE24" s="37"/>
      <c r="UNF24" s="37"/>
      <c r="UNG24" s="37"/>
      <c r="UNH24" s="37"/>
      <c r="UNI24" s="37"/>
      <c r="UNJ24" s="37"/>
      <c r="UNK24" s="37"/>
      <c r="UNL24" s="37"/>
      <c r="UNM24" s="37"/>
      <c r="UNN24" s="37"/>
      <c r="UNO24" s="37"/>
      <c r="UNP24" s="37"/>
      <c r="UNQ24" s="37"/>
      <c r="UNR24" s="37"/>
      <c r="UNS24" s="37"/>
      <c r="UNT24" s="37"/>
      <c r="UNU24" s="37"/>
      <c r="UNV24" s="37"/>
      <c r="UNW24" s="37"/>
      <c r="UNX24" s="37"/>
      <c r="UNY24" s="37"/>
      <c r="UNZ24" s="37"/>
      <c r="UOA24" s="37"/>
      <c r="UOB24" s="37"/>
      <c r="UOC24" s="37"/>
      <c r="UOD24" s="37"/>
      <c r="UOE24" s="37"/>
      <c r="UOF24" s="37"/>
      <c r="UOG24" s="37"/>
      <c r="UOH24" s="37"/>
      <c r="UOI24" s="37"/>
      <c r="UOJ24" s="37"/>
      <c r="UOK24" s="37"/>
      <c r="UOL24" s="37"/>
      <c r="UOM24" s="37"/>
      <c r="UON24" s="37"/>
      <c r="UOO24" s="37"/>
      <c r="UOP24" s="37"/>
      <c r="UOQ24" s="37"/>
      <c r="UOR24" s="37"/>
      <c r="UOS24" s="37"/>
      <c r="UOT24" s="37"/>
      <c r="UOU24" s="37"/>
      <c r="UOV24" s="37"/>
      <c r="UOW24" s="37"/>
      <c r="UOX24" s="37"/>
      <c r="UOY24" s="37"/>
      <c r="UOZ24" s="37"/>
      <c r="UPA24" s="37"/>
      <c r="UPB24" s="37"/>
      <c r="UPC24" s="37"/>
      <c r="UPD24" s="37"/>
      <c r="UPE24" s="37"/>
      <c r="UPF24" s="37"/>
      <c r="UPG24" s="37"/>
      <c r="UPH24" s="37"/>
      <c r="UPI24" s="37"/>
      <c r="UPJ24" s="37"/>
      <c r="UPK24" s="37"/>
      <c r="UPL24" s="37"/>
      <c r="UPM24" s="37"/>
      <c r="UPN24" s="37"/>
      <c r="UPO24" s="37"/>
      <c r="UPP24" s="37"/>
      <c r="UPQ24" s="37"/>
      <c r="UPR24" s="37"/>
      <c r="UPS24" s="37"/>
      <c r="UPT24" s="37"/>
      <c r="UPU24" s="37"/>
      <c r="UPV24" s="37"/>
      <c r="UPW24" s="37"/>
      <c r="UPX24" s="37"/>
      <c r="UPY24" s="37"/>
      <c r="UPZ24" s="37"/>
      <c r="UQA24" s="37"/>
      <c r="UQB24" s="37"/>
      <c r="UQC24" s="37"/>
      <c r="UQD24" s="37"/>
      <c r="UQE24" s="37"/>
      <c r="UQF24" s="37"/>
      <c r="UQG24" s="37"/>
      <c r="UQH24" s="37"/>
      <c r="UQI24" s="37"/>
      <c r="UQJ24" s="37"/>
      <c r="UQK24" s="37"/>
      <c r="UQL24" s="37"/>
      <c r="UQM24" s="37"/>
      <c r="UQN24" s="37"/>
      <c r="UQO24" s="37"/>
      <c r="UQP24" s="37"/>
      <c r="UQQ24" s="37"/>
      <c r="UQR24" s="37"/>
      <c r="UQS24" s="37"/>
      <c r="UQT24" s="37"/>
      <c r="UQU24" s="37"/>
      <c r="UQV24" s="37"/>
      <c r="UQW24" s="37"/>
      <c r="UQX24" s="37"/>
      <c r="UQY24" s="37"/>
      <c r="UQZ24" s="37"/>
      <c r="URA24" s="37"/>
      <c r="URB24" s="37"/>
      <c r="URC24" s="37"/>
      <c r="URD24" s="37"/>
      <c r="URE24" s="37"/>
      <c r="URF24" s="37"/>
      <c r="URG24" s="37"/>
      <c r="URH24" s="37"/>
      <c r="URI24" s="37"/>
      <c r="URJ24" s="37"/>
      <c r="URK24" s="37"/>
      <c r="URL24" s="37"/>
      <c r="URM24" s="37"/>
      <c r="URN24" s="37"/>
      <c r="URO24" s="37"/>
      <c r="URP24" s="37"/>
      <c r="URQ24" s="37"/>
      <c r="URR24" s="37"/>
      <c r="URS24" s="37"/>
      <c r="URT24" s="37"/>
      <c r="URU24" s="37"/>
      <c r="URV24" s="37"/>
      <c r="URW24" s="37"/>
      <c r="URX24" s="37"/>
      <c r="URY24" s="37"/>
      <c r="URZ24" s="37"/>
      <c r="USA24" s="37"/>
      <c r="USB24" s="37"/>
      <c r="USC24" s="37"/>
      <c r="USD24" s="37"/>
      <c r="USE24" s="37"/>
      <c r="USF24" s="37"/>
      <c r="USG24" s="37"/>
      <c r="USH24" s="37"/>
      <c r="USI24" s="37"/>
      <c r="USJ24" s="37"/>
      <c r="USK24" s="37"/>
      <c r="USL24" s="37"/>
      <c r="USM24" s="37"/>
      <c r="USN24" s="37"/>
      <c r="USO24" s="37"/>
      <c r="USP24" s="37"/>
      <c r="USQ24" s="37"/>
      <c r="USR24" s="37"/>
      <c r="USS24" s="37"/>
      <c r="UST24" s="37"/>
      <c r="USU24" s="37"/>
      <c r="USV24" s="37"/>
      <c r="USW24" s="37"/>
      <c r="USX24" s="37"/>
      <c r="USY24" s="37"/>
      <c r="USZ24" s="37"/>
      <c r="UTA24" s="37"/>
      <c r="UTB24" s="37"/>
      <c r="UTC24" s="37"/>
      <c r="UTD24" s="37"/>
      <c r="UTE24" s="37"/>
      <c r="UTF24" s="37"/>
      <c r="UTG24" s="37"/>
      <c r="UTH24" s="37"/>
      <c r="UTI24" s="37"/>
      <c r="UTJ24" s="37"/>
      <c r="UTK24" s="37"/>
      <c r="UTL24" s="37"/>
      <c r="UTM24" s="37"/>
      <c r="UTN24" s="37"/>
      <c r="UTO24" s="37"/>
      <c r="UTP24" s="37"/>
      <c r="UTQ24" s="37"/>
      <c r="UTR24" s="37"/>
      <c r="UTS24" s="37"/>
      <c r="UTT24" s="37"/>
      <c r="UTU24" s="37"/>
      <c r="UTV24" s="37"/>
      <c r="UTW24" s="37"/>
      <c r="UTX24" s="37"/>
      <c r="UTY24" s="37"/>
      <c r="UTZ24" s="37"/>
      <c r="UUA24" s="37"/>
      <c r="UUB24" s="37"/>
      <c r="UUC24" s="37"/>
      <c r="UUD24" s="37"/>
      <c r="UUE24" s="37"/>
      <c r="UUF24" s="37"/>
      <c r="UUG24" s="37"/>
      <c r="UUH24" s="37"/>
      <c r="UUI24" s="37"/>
      <c r="UUJ24" s="37"/>
      <c r="UUK24" s="37"/>
      <c r="UUL24" s="37"/>
      <c r="UUM24" s="37"/>
      <c r="UUN24" s="37"/>
      <c r="UUO24" s="37"/>
      <c r="UUP24" s="37"/>
      <c r="UUQ24" s="37"/>
      <c r="UUR24" s="37"/>
      <c r="UUS24" s="37"/>
      <c r="UUT24" s="37"/>
      <c r="UUU24" s="37"/>
      <c r="UUV24" s="37"/>
      <c r="UUW24" s="37"/>
      <c r="UUX24" s="37"/>
      <c r="UUY24" s="37"/>
      <c r="UUZ24" s="37"/>
      <c r="UVA24" s="37"/>
      <c r="UVB24" s="37"/>
      <c r="UVC24" s="37"/>
      <c r="UVD24" s="37"/>
      <c r="UVE24" s="37"/>
      <c r="UVF24" s="37"/>
      <c r="UVG24" s="37"/>
      <c r="UVH24" s="37"/>
      <c r="UVI24" s="37"/>
      <c r="UVJ24" s="37"/>
      <c r="UVK24" s="37"/>
      <c r="UVL24" s="37"/>
      <c r="UVM24" s="37"/>
      <c r="UVN24" s="37"/>
      <c r="UVO24" s="37"/>
      <c r="UVP24" s="37"/>
      <c r="UVQ24" s="37"/>
      <c r="UVR24" s="37"/>
      <c r="UVS24" s="37"/>
      <c r="UVT24" s="37"/>
      <c r="UVU24" s="37"/>
      <c r="UVV24" s="37"/>
      <c r="UVW24" s="37"/>
      <c r="UVX24" s="37"/>
      <c r="UVY24" s="37"/>
      <c r="UVZ24" s="37"/>
      <c r="UWA24" s="37"/>
      <c r="UWB24" s="37"/>
      <c r="UWC24" s="37"/>
      <c r="UWD24" s="37"/>
      <c r="UWE24" s="37"/>
      <c r="UWF24" s="37"/>
      <c r="UWG24" s="37"/>
      <c r="UWH24" s="37"/>
      <c r="UWI24" s="37"/>
      <c r="UWJ24" s="37"/>
      <c r="UWK24" s="37"/>
      <c r="UWL24" s="37"/>
      <c r="UWM24" s="37"/>
      <c r="UWN24" s="37"/>
      <c r="UWO24" s="37"/>
      <c r="UWP24" s="37"/>
      <c r="UWQ24" s="37"/>
      <c r="UWR24" s="37"/>
      <c r="UWS24" s="37"/>
      <c r="UWT24" s="37"/>
      <c r="UWU24" s="37"/>
      <c r="UWV24" s="37"/>
      <c r="UWW24" s="37"/>
      <c r="UWX24" s="37"/>
      <c r="UWY24" s="37"/>
      <c r="UWZ24" s="37"/>
      <c r="UXA24" s="37"/>
      <c r="UXB24" s="37"/>
      <c r="UXC24" s="37"/>
      <c r="UXD24" s="37"/>
      <c r="UXE24" s="37"/>
      <c r="UXF24" s="37"/>
      <c r="UXG24" s="37"/>
      <c r="UXH24" s="37"/>
      <c r="UXI24" s="37"/>
      <c r="UXJ24" s="37"/>
      <c r="UXK24" s="37"/>
      <c r="UXL24" s="37"/>
      <c r="UXM24" s="37"/>
      <c r="UXN24" s="37"/>
      <c r="UXO24" s="37"/>
      <c r="UXP24" s="37"/>
      <c r="UXQ24" s="37"/>
      <c r="UXR24" s="37"/>
      <c r="UXS24" s="37"/>
      <c r="UXT24" s="37"/>
      <c r="UXU24" s="37"/>
      <c r="UXV24" s="37"/>
      <c r="UXW24" s="37"/>
      <c r="UXX24" s="37"/>
      <c r="UXY24" s="37"/>
      <c r="UXZ24" s="37"/>
      <c r="UYA24" s="37"/>
      <c r="UYB24" s="37"/>
      <c r="UYC24" s="37"/>
      <c r="UYD24" s="37"/>
      <c r="UYE24" s="37"/>
      <c r="UYF24" s="37"/>
      <c r="UYG24" s="37"/>
      <c r="UYH24" s="37"/>
      <c r="UYI24" s="37"/>
      <c r="UYJ24" s="37"/>
      <c r="UYK24" s="37"/>
      <c r="UYL24" s="37"/>
      <c r="UYM24" s="37"/>
      <c r="UYN24" s="37"/>
      <c r="UYO24" s="37"/>
      <c r="UYP24" s="37"/>
      <c r="UYQ24" s="37"/>
      <c r="UYR24" s="37"/>
      <c r="UYS24" s="37"/>
      <c r="UYT24" s="37"/>
      <c r="UYU24" s="37"/>
      <c r="UYV24" s="37"/>
      <c r="UYW24" s="37"/>
      <c r="UYX24" s="37"/>
      <c r="UYY24" s="37"/>
      <c r="UYZ24" s="37"/>
      <c r="UZA24" s="37"/>
      <c r="UZB24" s="37"/>
      <c r="UZC24" s="37"/>
      <c r="UZD24" s="37"/>
      <c r="UZE24" s="37"/>
      <c r="UZF24" s="37"/>
      <c r="UZG24" s="37"/>
      <c r="UZH24" s="37"/>
      <c r="UZI24" s="37"/>
      <c r="UZJ24" s="37"/>
      <c r="UZK24" s="37"/>
      <c r="UZL24" s="37"/>
      <c r="UZM24" s="37"/>
      <c r="UZN24" s="37"/>
      <c r="UZO24" s="37"/>
      <c r="UZP24" s="37"/>
      <c r="UZQ24" s="37"/>
      <c r="UZR24" s="37"/>
      <c r="UZS24" s="37"/>
      <c r="UZT24" s="37"/>
      <c r="UZU24" s="37"/>
      <c r="UZV24" s="37"/>
      <c r="UZW24" s="37"/>
      <c r="UZX24" s="37"/>
      <c r="UZY24" s="37"/>
      <c r="UZZ24" s="37"/>
      <c r="VAA24" s="37"/>
      <c r="VAB24" s="37"/>
      <c r="VAC24" s="37"/>
      <c r="VAD24" s="37"/>
      <c r="VAE24" s="37"/>
      <c r="VAF24" s="37"/>
      <c r="VAG24" s="37"/>
      <c r="VAH24" s="37"/>
      <c r="VAI24" s="37"/>
      <c r="VAJ24" s="37"/>
      <c r="VAK24" s="37"/>
      <c r="VAL24" s="37"/>
      <c r="VAM24" s="37"/>
      <c r="VAN24" s="37"/>
      <c r="VAO24" s="37"/>
      <c r="VAP24" s="37"/>
      <c r="VAQ24" s="37"/>
      <c r="VAR24" s="37"/>
      <c r="VAS24" s="37"/>
      <c r="VAT24" s="37"/>
      <c r="VAU24" s="37"/>
      <c r="VAV24" s="37"/>
      <c r="VAW24" s="37"/>
      <c r="VAX24" s="37"/>
      <c r="VAY24" s="37"/>
      <c r="VAZ24" s="37"/>
      <c r="VBA24" s="37"/>
      <c r="VBB24" s="37"/>
      <c r="VBC24" s="37"/>
      <c r="VBD24" s="37"/>
      <c r="VBE24" s="37"/>
      <c r="VBF24" s="37"/>
      <c r="VBG24" s="37"/>
      <c r="VBH24" s="37"/>
      <c r="VBI24" s="37"/>
      <c r="VBJ24" s="37"/>
      <c r="VBK24" s="37"/>
      <c r="VBL24" s="37"/>
      <c r="VBM24" s="37"/>
      <c r="VBN24" s="37"/>
      <c r="VBO24" s="37"/>
      <c r="VBP24" s="37"/>
      <c r="VBQ24" s="37"/>
      <c r="VBR24" s="37"/>
      <c r="VBS24" s="37"/>
      <c r="VBT24" s="37"/>
      <c r="VBU24" s="37"/>
      <c r="VBV24" s="37"/>
      <c r="VBW24" s="37"/>
      <c r="VBX24" s="37"/>
      <c r="VBY24" s="37"/>
      <c r="VBZ24" s="37"/>
      <c r="VCA24" s="37"/>
      <c r="VCB24" s="37"/>
      <c r="VCC24" s="37"/>
      <c r="VCD24" s="37"/>
      <c r="VCE24" s="37"/>
      <c r="VCF24" s="37"/>
      <c r="VCG24" s="37"/>
      <c r="VCH24" s="37"/>
      <c r="VCI24" s="37"/>
      <c r="VCJ24" s="37"/>
      <c r="VCK24" s="37"/>
      <c r="VCL24" s="37"/>
      <c r="VCM24" s="37"/>
      <c r="VCN24" s="37"/>
      <c r="VCO24" s="37"/>
      <c r="VCP24" s="37"/>
      <c r="VCQ24" s="37"/>
      <c r="VCR24" s="37"/>
      <c r="VCS24" s="37"/>
      <c r="VCT24" s="37"/>
      <c r="VCU24" s="37"/>
      <c r="VCV24" s="37"/>
      <c r="VCW24" s="37"/>
      <c r="VCX24" s="37"/>
      <c r="VCY24" s="37"/>
      <c r="VCZ24" s="37"/>
      <c r="VDA24" s="37"/>
      <c r="VDB24" s="37"/>
      <c r="VDC24" s="37"/>
      <c r="VDD24" s="37"/>
      <c r="VDE24" s="37"/>
      <c r="VDF24" s="37"/>
      <c r="VDG24" s="37"/>
      <c r="VDH24" s="37"/>
      <c r="VDI24" s="37"/>
      <c r="VDJ24" s="37"/>
      <c r="VDK24" s="37"/>
      <c r="VDL24" s="37"/>
      <c r="VDM24" s="37"/>
      <c r="VDN24" s="37"/>
      <c r="VDO24" s="37"/>
      <c r="VDP24" s="37"/>
      <c r="VDQ24" s="37"/>
      <c r="VDR24" s="37"/>
      <c r="VDS24" s="37"/>
      <c r="VDT24" s="37"/>
      <c r="VDU24" s="37"/>
      <c r="VDV24" s="37"/>
      <c r="VDW24" s="37"/>
      <c r="VDX24" s="37"/>
      <c r="VDY24" s="37"/>
      <c r="VDZ24" s="37"/>
      <c r="VEA24" s="37"/>
      <c r="VEB24" s="37"/>
      <c r="VEC24" s="37"/>
      <c r="VED24" s="37"/>
      <c r="VEE24" s="37"/>
      <c r="VEF24" s="37"/>
      <c r="VEG24" s="37"/>
      <c r="VEH24" s="37"/>
      <c r="VEI24" s="37"/>
      <c r="VEJ24" s="37"/>
      <c r="VEK24" s="37"/>
      <c r="VEL24" s="37"/>
      <c r="VEM24" s="37"/>
      <c r="VEN24" s="37"/>
      <c r="VEO24" s="37"/>
      <c r="VEP24" s="37"/>
      <c r="VEQ24" s="37"/>
      <c r="VER24" s="37"/>
      <c r="VES24" s="37"/>
      <c r="VET24" s="37"/>
      <c r="VEU24" s="37"/>
      <c r="VEV24" s="37"/>
      <c r="VEW24" s="37"/>
      <c r="VEX24" s="37"/>
      <c r="VEY24" s="37"/>
      <c r="VEZ24" s="37"/>
      <c r="VFA24" s="37"/>
      <c r="VFB24" s="37"/>
      <c r="VFC24" s="37"/>
      <c r="VFD24" s="37"/>
      <c r="VFE24" s="37"/>
      <c r="VFF24" s="37"/>
      <c r="VFG24" s="37"/>
      <c r="VFH24" s="37"/>
      <c r="VFI24" s="37"/>
      <c r="VFJ24" s="37"/>
      <c r="VFK24" s="37"/>
      <c r="VFL24" s="37"/>
      <c r="VFM24" s="37"/>
      <c r="VFN24" s="37"/>
      <c r="VFO24" s="37"/>
      <c r="VFP24" s="37"/>
      <c r="VFQ24" s="37"/>
      <c r="VFR24" s="37"/>
      <c r="VFS24" s="37"/>
      <c r="VFT24" s="37"/>
      <c r="VFU24" s="37"/>
      <c r="VFV24" s="37"/>
      <c r="VFW24" s="37"/>
      <c r="VFX24" s="37"/>
      <c r="VFY24" s="37"/>
      <c r="VFZ24" s="37"/>
      <c r="VGA24" s="37"/>
      <c r="VGB24" s="37"/>
      <c r="VGC24" s="37"/>
      <c r="VGD24" s="37"/>
      <c r="VGE24" s="37"/>
      <c r="VGF24" s="37"/>
      <c r="VGG24" s="37"/>
      <c r="VGH24" s="37"/>
      <c r="VGI24" s="37"/>
      <c r="VGJ24" s="37"/>
      <c r="VGK24" s="37"/>
      <c r="VGL24" s="37"/>
      <c r="VGM24" s="37"/>
      <c r="VGN24" s="37"/>
      <c r="VGO24" s="37"/>
      <c r="VGP24" s="37"/>
      <c r="VGQ24" s="37"/>
      <c r="VGR24" s="37"/>
      <c r="VGS24" s="37"/>
      <c r="VGT24" s="37"/>
      <c r="VGU24" s="37"/>
      <c r="VGV24" s="37"/>
      <c r="VGW24" s="37"/>
      <c r="VGX24" s="37"/>
      <c r="VGY24" s="37"/>
      <c r="VGZ24" s="37"/>
      <c r="VHA24" s="37"/>
      <c r="VHB24" s="37"/>
      <c r="VHC24" s="37"/>
      <c r="VHD24" s="37"/>
      <c r="VHE24" s="37"/>
      <c r="VHF24" s="37"/>
      <c r="VHG24" s="37"/>
      <c r="VHH24" s="37"/>
      <c r="VHI24" s="37"/>
      <c r="VHJ24" s="37"/>
      <c r="VHK24" s="37"/>
      <c r="VHL24" s="37"/>
      <c r="VHM24" s="37"/>
      <c r="VHN24" s="37"/>
      <c r="VHO24" s="37"/>
      <c r="VHP24" s="37"/>
      <c r="VHQ24" s="37"/>
      <c r="VHR24" s="37"/>
      <c r="VHS24" s="37"/>
      <c r="VHT24" s="37"/>
      <c r="VHU24" s="37"/>
      <c r="VHV24" s="37"/>
      <c r="VHW24" s="37"/>
      <c r="VHX24" s="37"/>
      <c r="VHY24" s="37"/>
      <c r="VHZ24" s="37"/>
      <c r="VIA24" s="37"/>
      <c r="VIB24" s="37"/>
      <c r="VIC24" s="37"/>
      <c r="VID24" s="37"/>
      <c r="VIE24" s="37"/>
      <c r="VIF24" s="37"/>
      <c r="VIG24" s="37"/>
      <c r="VIH24" s="37"/>
      <c r="VII24" s="37"/>
      <c r="VIJ24" s="37"/>
      <c r="VIK24" s="37"/>
      <c r="VIL24" s="37"/>
      <c r="VIM24" s="37"/>
      <c r="VIN24" s="37"/>
      <c r="VIO24" s="37"/>
      <c r="VIP24" s="37"/>
      <c r="VIQ24" s="37"/>
      <c r="VIR24" s="37"/>
      <c r="VIS24" s="37"/>
      <c r="VIT24" s="37"/>
      <c r="VIU24" s="37"/>
      <c r="VIV24" s="37"/>
      <c r="VIW24" s="37"/>
      <c r="VIX24" s="37"/>
      <c r="VIY24" s="37"/>
      <c r="VIZ24" s="37"/>
      <c r="VJA24" s="37"/>
      <c r="VJB24" s="37"/>
      <c r="VJC24" s="37"/>
      <c r="VJD24" s="37"/>
      <c r="VJE24" s="37"/>
      <c r="VJF24" s="37"/>
      <c r="VJG24" s="37"/>
      <c r="VJH24" s="37"/>
      <c r="VJI24" s="37"/>
      <c r="VJJ24" s="37"/>
      <c r="VJK24" s="37"/>
      <c r="VJL24" s="37"/>
      <c r="VJM24" s="37"/>
      <c r="VJN24" s="37"/>
      <c r="VJO24" s="37"/>
      <c r="VJP24" s="37"/>
      <c r="VJQ24" s="37"/>
      <c r="VJR24" s="37"/>
      <c r="VJS24" s="37"/>
      <c r="VJT24" s="37"/>
      <c r="VJU24" s="37"/>
      <c r="VJV24" s="37"/>
      <c r="VJW24" s="37"/>
      <c r="VJX24" s="37"/>
      <c r="VJY24" s="37"/>
      <c r="VJZ24" s="37"/>
      <c r="VKA24" s="37"/>
      <c r="VKB24" s="37"/>
      <c r="VKC24" s="37"/>
      <c r="VKD24" s="37"/>
      <c r="VKE24" s="37"/>
      <c r="VKF24" s="37"/>
      <c r="VKG24" s="37"/>
      <c r="VKH24" s="37"/>
      <c r="VKI24" s="37"/>
      <c r="VKJ24" s="37"/>
      <c r="VKK24" s="37"/>
      <c r="VKL24" s="37"/>
      <c r="VKM24" s="37"/>
      <c r="VKN24" s="37"/>
      <c r="VKO24" s="37"/>
      <c r="VKP24" s="37"/>
      <c r="VKQ24" s="37"/>
      <c r="VKR24" s="37"/>
      <c r="VKS24" s="37"/>
      <c r="VKT24" s="37"/>
      <c r="VKU24" s="37"/>
      <c r="VKV24" s="37"/>
      <c r="VKW24" s="37"/>
      <c r="VKX24" s="37"/>
      <c r="VKY24" s="37"/>
      <c r="VKZ24" s="37"/>
      <c r="VLA24" s="37"/>
      <c r="VLB24" s="37"/>
      <c r="VLC24" s="37"/>
      <c r="VLD24" s="37"/>
      <c r="VLE24" s="37"/>
      <c r="VLF24" s="37"/>
      <c r="VLG24" s="37"/>
      <c r="VLH24" s="37"/>
      <c r="VLI24" s="37"/>
      <c r="VLJ24" s="37"/>
      <c r="VLK24" s="37"/>
      <c r="VLL24" s="37"/>
      <c r="VLM24" s="37"/>
      <c r="VLN24" s="37"/>
      <c r="VLO24" s="37"/>
      <c r="VLP24" s="37"/>
      <c r="VLQ24" s="37"/>
      <c r="VLR24" s="37"/>
      <c r="VLS24" s="37"/>
      <c r="VLT24" s="37"/>
      <c r="VLU24" s="37"/>
      <c r="VLV24" s="37"/>
      <c r="VLW24" s="37"/>
      <c r="VLX24" s="37"/>
      <c r="VLY24" s="37"/>
      <c r="VLZ24" s="37"/>
      <c r="VMA24" s="37"/>
      <c r="VMB24" s="37"/>
      <c r="VMC24" s="37"/>
      <c r="VMD24" s="37"/>
      <c r="VME24" s="37"/>
      <c r="VMF24" s="37"/>
      <c r="VMG24" s="37"/>
      <c r="VMH24" s="37"/>
      <c r="VMI24" s="37"/>
      <c r="VMJ24" s="37"/>
      <c r="VMK24" s="37"/>
      <c r="VML24" s="37"/>
      <c r="VMM24" s="37"/>
      <c r="VMN24" s="37"/>
      <c r="VMO24" s="37"/>
      <c r="VMP24" s="37"/>
      <c r="VMQ24" s="37"/>
      <c r="VMR24" s="37"/>
      <c r="VMS24" s="37"/>
      <c r="VMT24" s="37"/>
      <c r="VMU24" s="37"/>
      <c r="VMV24" s="37"/>
      <c r="VMW24" s="37"/>
      <c r="VMX24" s="37"/>
      <c r="VMY24" s="37"/>
      <c r="VMZ24" s="37"/>
      <c r="VNA24" s="37"/>
      <c r="VNB24" s="37"/>
      <c r="VNC24" s="37"/>
      <c r="VND24" s="37"/>
      <c r="VNE24" s="37"/>
      <c r="VNF24" s="37"/>
      <c r="VNG24" s="37"/>
      <c r="VNH24" s="37"/>
      <c r="VNI24" s="37"/>
      <c r="VNJ24" s="37"/>
      <c r="VNK24" s="37"/>
      <c r="VNL24" s="37"/>
      <c r="VNM24" s="37"/>
      <c r="VNN24" s="37"/>
      <c r="VNO24" s="37"/>
      <c r="VNP24" s="37"/>
      <c r="VNQ24" s="37"/>
      <c r="VNR24" s="37"/>
      <c r="VNS24" s="37"/>
      <c r="VNT24" s="37"/>
      <c r="VNU24" s="37"/>
      <c r="VNV24" s="37"/>
      <c r="VNW24" s="37"/>
      <c r="VNX24" s="37"/>
      <c r="VNY24" s="37"/>
      <c r="VNZ24" s="37"/>
      <c r="VOA24" s="37"/>
      <c r="VOB24" s="37"/>
      <c r="VOC24" s="37"/>
      <c r="VOD24" s="37"/>
      <c r="VOE24" s="37"/>
      <c r="VOF24" s="37"/>
      <c r="VOG24" s="37"/>
      <c r="VOH24" s="37"/>
      <c r="VOI24" s="37"/>
      <c r="VOJ24" s="37"/>
      <c r="VOK24" s="37"/>
      <c r="VOL24" s="37"/>
      <c r="VOM24" s="37"/>
      <c r="VON24" s="37"/>
      <c r="VOO24" s="37"/>
      <c r="VOP24" s="37"/>
      <c r="VOQ24" s="37"/>
      <c r="VOR24" s="37"/>
      <c r="VOS24" s="37"/>
      <c r="VOT24" s="37"/>
      <c r="VOU24" s="37"/>
      <c r="VOV24" s="37"/>
      <c r="VOW24" s="37"/>
      <c r="VOX24" s="37"/>
      <c r="VOY24" s="37"/>
      <c r="VOZ24" s="37"/>
      <c r="VPA24" s="37"/>
      <c r="VPB24" s="37"/>
      <c r="VPC24" s="37"/>
      <c r="VPD24" s="37"/>
      <c r="VPE24" s="37"/>
      <c r="VPF24" s="37"/>
      <c r="VPG24" s="37"/>
      <c r="VPH24" s="37"/>
      <c r="VPI24" s="37"/>
      <c r="VPJ24" s="37"/>
      <c r="VPK24" s="37"/>
      <c r="VPL24" s="37"/>
      <c r="VPM24" s="37"/>
      <c r="VPN24" s="37"/>
      <c r="VPO24" s="37"/>
      <c r="VPP24" s="37"/>
      <c r="VPQ24" s="37"/>
      <c r="VPR24" s="37"/>
      <c r="VPS24" s="37"/>
      <c r="VPT24" s="37"/>
      <c r="VPU24" s="37"/>
      <c r="VPV24" s="37"/>
      <c r="VPW24" s="37"/>
      <c r="VPX24" s="37"/>
      <c r="VPY24" s="37"/>
      <c r="VPZ24" s="37"/>
      <c r="VQA24" s="37"/>
      <c r="VQB24" s="37"/>
      <c r="VQC24" s="37"/>
      <c r="VQD24" s="37"/>
      <c r="VQE24" s="37"/>
      <c r="VQF24" s="37"/>
      <c r="VQG24" s="37"/>
      <c r="VQH24" s="37"/>
      <c r="VQI24" s="37"/>
      <c r="VQJ24" s="37"/>
      <c r="VQK24" s="37"/>
      <c r="VQL24" s="37"/>
      <c r="VQM24" s="37"/>
      <c r="VQN24" s="37"/>
      <c r="VQO24" s="37"/>
      <c r="VQP24" s="37"/>
      <c r="VQQ24" s="37"/>
      <c r="VQR24" s="37"/>
      <c r="VQS24" s="37"/>
      <c r="VQT24" s="37"/>
      <c r="VQU24" s="37"/>
      <c r="VQV24" s="37"/>
      <c r="VQW24" s="37"/>
      <c r="VQX24" s="37"/>
      <c r="VQY24" s="37"/>
      <c r="VQZ24" s="37"/>
      <c r="VRA24" s="37"/>
      <c r="VRB24" s="37"/>
      <c r="VRC24" s="37"/>
      <c r="VRD24" s="37"/>
      <c r="VRE24" s="37"/>
      <c r="VRF24" s="37"/>
      <c r="VRG24" s="37"/>
      <c r="VRH24" s="37"/>
      <c r="VRI24" s="37"/>
      <c r="VRJ24" s="37"/>
      <c r="VRK24" s="37"/>
      <c r="VRL24" s="37"/>
      <c r="VRM24" s="37"/>
      <c r="VRN24" s="37"/>
      <c r="VRO24" s="37"/>
      <c r="VRP24" s="37"/>
      <c r="VRQ24" s="37"/>
      <c r="VRR24" s="37"/>
      <c r="VRS24" s="37"/>
      <c r="VRT24" s="37"/>
      <c r="VRU24" s="37"/>
      <c r="VRV24" s="37"/>
      <c r="VRW24" s="37"/>
      <c r="VRX24" s="37"/>
      <c r="VRY24" s="37"/>
      <c r="VRZ24" s="37"/>
      <c r="VSA24" s="37"/>
      <c r="VSB24" s="37"/>
      <c r="VSC24" s="37"/>
      <c r="VSD24" s="37"/>
      <c r="VSE24" s="37"/>
      <c r="VSF24" s="37"/>
      <c r="VSG24" s="37"/>
      <c r="VSH24" s="37"/>
      <c r="VSI24" s="37"/>
      <c r="VSJ24" s="37"/>
      <c r="VSK24" s="37"/>
      <c r="VSL24" s="37"/>
      <c r="VSM24" s="37"/>
      <c r="VSN24" s="37"/>
      <c r="VSO24" s="37"/>
      <c r="VSP24" s="37"/>
      <c r="VSQ24" s="37"/>
      <c r="VSR24" s="37"/>
      <c r="VSS24" s="37"/>
      <c r="VST24" s="37"/>
      <c r="VSU24" s="37"/>
      <c r="VSV24" s="37"/>
      <c r="VSW24" s="37"/>
      <c r="VSX24" s="37"/>
      <c r="VSY24" s="37"/>
      <c r="VSZ24" s="37"/>
      <c r="VTA24" s="37"/>
      <c r="VTB24" s="37"/>
      <c r="VTC24" s="37"/>
      <c r="VTD24" s="37"/>
      <c r="VTE24" s="37"/>
      <c r="VTF24" s="37"/>
      <c r="VTG24" s="37"/>
      <c r="VTH24" s="37"/>
      <c r="VTI24" s="37"/>
      <c r="VTJ24" s="37"/>
      <c r="VTK24" s="37"/>
      <c r="VTL24" s="37"/>
      <c r="VTM24" s="37"/>
      <c r="VTN24" s="37"/>
      <c r="VTO24" s="37"/>
      <c r="VTP24" s="37"/>
      <c r="VTQ24" s="37"/>
      <c r="VTR24" s="37"/>
      <c r="VTS24" s="37"/>
      <c r="VTT24" s="37"/>
      <c r="VTU24" s="37"/>
      <c r="VTV24" s="37"/>
      <c r="VTW24" s="37"/>
      <c r="VTX24" s="37"/>
      <c r="VTY24" s="37"/>
      <c r="VTZ24" s="37"/>
      <c r="VUA24" s="37"/>
      <c r="VUB24" s="37"/>
      <c r="VUC24" s="37"/>
      <c r="VUD24" s="37"/>
      <c r="VUE24" s="37"/>
      <c r="VUF24" s="37"/>
      <c r="VUG24" s="37"/>
      <c r="VUH24" s="37"/>
      <c r="VUI24" s="37"/>
      <c r="VUJ24" s="37"/>
      <c r="VUK24" s="37"/>
      <c r="VUL24" s="37"/>
      <c r="VUM24" s="37"/>
      <c r="VUN24" s="37"/>
      <c r="VUO24" s="37"/>
      <c r="VUP24" s="37"/>
      <c r="VUQ24" s="37"/>
      <c r="VUR24" s="37"/>
      <c r="VUS24" s="37"/>
      <c r="VUT24" s="37"/>
      <c r="VUU24" s="37"/>
      <c r="VUV24" s="37"/>
      <c r="VUW24" s="37"/>
      <c r="VUX24" s="37"/>
      <c r="VUY24" s="37"/>
      <c r="VUZ24" s="37"/>
      <c r="VVA24" s="37"/>
      <c r="VVB24" s="37"/>
      <c r="VVC24" s="37"/>
      <c r="VVD24" s="37"/>
      <c r="VVE24" s="37"/>
      <c r="VVF24" s="37"/>
      <c r="VVG24" s="37"/>
      <c r="VVH24" s="37"/>
      <c r="VVI24" s="37"/>
      <c r="VVJ24" s="37"/>
      <c r="VVK24" s="37"/>
      <c r="VVL24" s="37"/>
      <c r="VVM24" s="37"/>
      <c r="VVN24" s="37"/>
      <c r="VVO24" s="37"/>
      <c r="VVP24" s="37"/>
      <c r="VVQ24" s="37"/>
      <c r="VVR24" s="37"/>
      <c r="VVS24" s="37"/>
      <c r="VVT24" s="37"/>
      <c r="VVU24" s="37"/>
      <c r="VVV24" s="37"/>
      <c r="VVW24" s="37"/>
      <c r="VVX24" s="37"/>
      <c r="VVY24" s="37"/>
      <c r="VVZ24" s="37"/>
      <c r="VWA24" s="37"/>
      <c r="VWB24" s="37"/>
      <c r="VWC24" s="37"/>
      <c r="VWD24" s="37"/>
      <c r="VWE24" s="37"/>
      <c r="VWF24" s="37"/>
      <c r="VWG24" s="37"/>
      <c r="VWH24" s="37"/>
      <c r="VWI24" s="37"/>
      <c r="VWJ24" s="37"/>
      <c r="VWK24" s="37"/>
      <c r="VWL24" s="37"/>
      <c r="VWM24" s="37"/>
      <c r="VWN24" s="37"/>
      <c r="VWO24" s="37"/>
      <c r="VWP24" s="37"/>
      <c r="VWQ24" s="37"/>
      <c r="VWR24" s="37"/>
      <c r="VWS24" s="37"/>
      <c r="VWT24" s="37"/>
      <c r="VWU24" s="37"/>
      <c r="VWV24" s="37"/>
      <c r="VWW24" s="37"/>
      <c r="VWX24" s="37"/>
      <c r="VWY24" s="37"/>
      <c r="VWZ24" s="37"/>
      <c r="VXA24" s="37"/>
      <c r="VXB24" s="37"/>
      <c r="VXC24" s="37"/>
      <c r="VXD24" s="37"/>
      <c r="VXE24" s="37"/>
      <c r="VXF24" s="37"/>
      <c r="VXG24" s="37"/>
      <c r="VXH24" s="37"/>
      <c r="VXI24" s="37"/>
      <c r="VXJ24" s="37"/>
      <c r="VXK24" s="37"/>
      <c r="VXL24" s="37"/>
      <c r="VXM24" s="37"/>
      <c r="VXN24" s="37"/>
      <c r="VXO24" s="37"/>
      <c r="VXP24" s="37"/>
      <c r="VXQ24" s="37"/>
      <c r="VXR24" s="37"/>
      <c r="VXS24" s="37"/>
      <c r="VXT24" s="37"/>
      <c r="VXU24" s="37"/>
      <c r="VXV24" s="37"/>
      <c r="VXW24" s="37"/>
      <c r="VXX24" s="37"/>
      <c r="VXY24" s="37"/>
      <c r="VXZ24" s="37"/>
      <c r="VYA24" s="37"/>
      <c r="VYB24" s="37"/>
      <c r="VYC24" s="37"/>
      <c r="VYD24" s="37"/>
      <c r="VYE24" s="37"/>
      <c r="VYF24" s="37"/>
      <c r="VYG24" s="37"/>
      <c r="VYH24" s="37"/>
      <c r="VYI24" s="37"/>
      <c r="VYJ24" s="37"/>
      <c r="VYK24" s="37"/>
      <c r="VYL24" s="37"/>
      <c r="VYM24" s="37"/>
      <c r="VYN24" s="37"/>
      <c r="VYO24" s="37"/>
      <c r="VYP24" s="37"/>
      <c r="VYQ24" s="37"/>
      <c r="VYR24" s="37"/>
      <c r="VYS24" s="37"/>
      <c r="VYT24" s="37"/>
      <c r="VYU24" s="37"/>
      <c r="VYV24" s="37"/>
      <c r="VYW24" s="37"/>
      <c r="VYX24" s="37"/>
      <c r="VYY24" s="37"/>
      <c r="VYZ24" s="37"/>
      <c r="VZA24" s="37"/>
      <c r="VZB24" s="37"/>
      <c r="VZC24" s="37"/>
      <c r="VZD24" s="37"/>
      <c r="VZE24" s="37"/>
      <c r="VZF24" s="37"/>
      <c r="VZG24" s="37"/>
      <c r="VZH24" s="37"/>
      <c r="VZI24" s="37"/>
      <c r="VZJ24" s="37"/>
      <c r="VZK24" s="37"/>
      <c r="VZL24" s="37"/>
      <c r="VZM24" s="37"/>
      <c r="VZN24" s="37"/>
      <c r="VZO24" s="37"/>
      <c r="VZP24" s="37"/>
      <c r="VZQ24" s="37"/>
      <c r="VZR24" s="37"/>
      <c r="VZS24" s="37"/>
      <c r="VZT24" s="37"/>
      <c r="VZU24" s="37"/>
      <c r="VZV24" s="37"/>
      <c r="VZW24" s="37"/>
      <c r="VZX24" s="37"/>
      <c r="VZY24" s="37"/>
      <c r="VZZ24" s="37"/>
      <c r="WAA24" s="37"/>
      <c r="WAB24" s="37"/>
      <c r="WAC24" s="37"/>
      <c r="WAD24" s="37"/>
      <c r="WAE24" s="37"/>
      <c r="WAF24" s="37"/>
      <c r="WAG24" s="37"/>
      <c r="WAH24" s="37"/>
      <c r="WAI24" s="37"/>
      <c r="WAJ24" s="37"/>
      <c r="WAK24" s="37"/>
      <c r="WAL24" s="37"/>
      <c r="WAM24" s="37"/>
      <c r="WAN24" s="37"/>
      <c r="WAO24" s="37"/>
      <c r="WAP24" s="37"/>
      <c r="WAQ24" s="37"/>
      <c r="WAR24" s="37"/>
      <c r="WAS24" s="37"/>
      <c r="WAT24" s="37"/>
      <c r="WAU24" s="37"/>
      <c r="WAV24" s="37"/>
      <c r="WAW24" s="37"/>
      <c r="WAX24" s="37"/>
      <c r="WAY24" s="37"/>
      <c r="WAZ24" s="37"/>
      <c r="WBA24" s="37"/>
      <c r="WBB24" s="37"/>
      <c r="WBC24" s="37"/>
      <c r="WBD24" s="37"/>
      <c r="WBE24" s="37"/>
      <c r="WBF24" s="37"/>
      <c r="WBG24" s="37"/>
      <c r="WBH24" s="37"/>
      <c r="WBI24" s="37"/>
      <c r="WBJ24" s="37"/>
      <c r="WBK24" s="37"/>
      <c r="WBL24" s="37"/>
      <c r="WBM24" s="37"/>
      <c r="WBN24" s="37"/>
      <c r="WBO24" s="37"/>
      <c r="WBP24" s="37"/>
      <c r="WBQ24" s="37"/>
      <c r="WBR24" s="37"/>
      <c r="WBS24" s="37"/>
      <c r="WBT24" s="37"/>
      <c r="WBU24" s="37"/>
      <c r="WBV24" s="37"/>
      <c r="WBW24" s="37"/>
      <c r="WBX24" s="37"/>
      <c r="WBY24" s="37"/>
      <c r="WBZ24" s="37"/>
      <c r="WCA24" s="37"/>
      <c r="WCB24" s="37"/>
      <c r="WCC24" s="37"/>
      <c r="WCD24" s="37"/>
      <c r="WCE24" s="37"/>
      <c r="WCF24" s="37"/>
      <c r="WCG24" s="37"/>
      <c r="WCH24" s="37"/>
      <c r="WCI24" s="37"/>
      <c r="WCJ24" s="37"/>
      <c r="WCK24" s="37"/>
      <c r="WCL24" s="37"/>
      <c r="WCM24" s="37"/>
      <c r="WCN24" s="37"/>
      <c r="WCO24" s="37"/>
      <c r="WCP24" s="37"/>
      <c r="WCQ24" s="37"/>
      <c r="WCR24" s="37"/>
      <c r="WCS24" s="37"/>
      <c r="WCT24" s="37"/>
      <c r="WCU24" s="37"/>
      <c r="WCV24" s="37"/>
      <c r="WCW24" s="37"/>
      <c r="WCX24" s="37"/>
      <c r="WCY24" s="37"/>
      <c r="WCZ24" s="37"/>
      <c r="WDA24" s="37"/>
      <c r="WDB24" s="37"/>
      <c r="WDC24" s="37"/>
      <c r="WDD24" s="37"/>
      <c r="WDE24" s="37"/>
      <c r="WDF24" s="37"/>
      <c r="WDG24" s="37"/>
      <c r="WDH24" s="37"/>
      <c r="WDI24" s="37"/>
      <c r="WDJ24" s="37"/>
      <c r="WDK24" s="37"/>
      <c r="WDL24" s="37"/>
      <c r="WDM24" s="37"/>
      <c r="WDN24" s="37"/>
      <c r="WDO24" s="37"/>
      <c r="WDP24" s="37"/>
      <c r="WDQ24" s="37"/>
      <c r="WDR24" s="37"/>
      <c r="WDS24" s="37"/>
      <c r="WDT24" s="37"/>
      <c r="WDU24" s="37"/>
      <c r="WDV24" s="37"/>
      <c r="WDW24" s="37"/>
      <c r="WDX24" s="37"/>
      <c r="WDY24" s="37"/>
      <c r="WDZ24" s="37"/>
      <c r="WEA24" s="37"/>
      <c r="WEB24" s="37"/>
      <c r="WEC24" s="37"/>
      <c r="WED24" s="37"/>
      <c r="WEE24" s="37"/>
      <c r="WEF24" s="37"/>
      <c r="WEG24" s="37"/>
      <c r="WEH24" s="37"/>
      <c r="WEI24" s="37"/>
      <c r="WEJ24" s="37"/>
      <c r="WEK24" s="37"/>
      <c r="WEL24" s="37"/>
      <c r="WEM24" s="37"/>
      <c r="WEN24" s="37"/>
      <c r="WEO24" s="37"/>
      <c r="WEP24" s="37"/>
      <c r="WEQ24" s="37"/>
      <c r="WER24" s="37"/>
      <c r="WES24" s="37"/>
      <c r="WET24" s="37"/>
      <c r="WEU24" s="37"/>
      <c r="WEV24" s="37"/>
      <c r="WEW24" s="37"/>
      <c r="WEX24" s="37"/>
      <c r="WEY24" s="37"/>
      <c r="WEZ24" s="37"/>
      <c r="WFA24" s="37"/>
      <c r="WFB24" s="37"/>
      <c r="WFC24" s="37"/>
      <c r="WFD24" s="37"/>
      <c r="WFE24" s="37"/>
      <c r="WFF24" s="37"/>
      <c r="WFG24" s="37"/>
      <c r="WFH24" s="37"/>
      <c r="WFI24" s="37"/>
      <c r="WFJ24" s="37"/>
      <c r="WFK24" s="37"/>
      <c r="WFL24" s="37"/>
      <c r="WFM24" s="37"/>
      <c r="WFN24" s="37"/>
      <c r="WFO24" s="37"/>
      <c r="WFP24" s="37"/>
      <c r="WFQ24" s="37"/>
      <c r="WFR24" s="37"/>
      <c r="WFS24" s="37"/>
      <c r="WFT24" s="37"/>
      <c r="WFU24" s="37"/>
      <c r="WFV24" s="37"/>
      <c r="WFW24" s="37"/>
      <c r="WFX24" s="37"/>
      <c r="WFY24" s="37"/>
      <c r="WFZ24" s="37"/>
      <c r="WGA24" s="37"/>
      <c r="WGB24" s="37"/>
      <c r="WGC24" s="37"/>
      <c r="WGD24" s="37"/>
      <c r="WGE24" s="37"/>
      <c r="WGF24" s="37"/>
      <c r="WGG24" s="37"/>
      <c r="WGH24" s="37"/>
      <c r="WGI24" s="37"/>
      <c r="WGJ24" s="37"/>
      <c r="WGK24" s="37"/>
      <c r="WGL24" s="37"/>
      <c r="WGM24" s="37"/>
      <c r="WGN24" s="37"/>
      <c r="WGO24" s="37"/>
      <c r="WGP24" s="37"/>
      <c r="WGQ24" s="37"/>
      <c r="WGR24" s="37"/>
      <c r="WGS24" s="37"/>
      <c r="WGT24" s="37"/>
      <c r="WGU24" s="37"/>
      <c r="WGV24" s="37"/>
      <c r="WGW24" s="37"/>
      <c r="WGX24" s="37"/>
      <c r="WGY24" s="37"/>
      <c r="WGZ24" s="37"/>
      <c r="WHA24" s="37"/>
      <c r="WHB24" s="37"/>
      <c r="WHC24" s="37"/>
      <c r="WHD24" s="37"/>
      <c r="WHE24" s="37"/>
      <c r="WHF24" s="37"/>
      <c r="WHG24" s="37"/>
      <c r="WHH24" s="37"/>
      <c r="WHI24" s="37"/>
      <c r="WHJ24" s="37"/>
      <c r="WHK24" s="37"/>
      <c r="WHL24" s="37"/>
      <c r="WHM24" s="37"/>
      <c r="WHN24" s="37"/>
      <c r="WHO24" s="37"/>
      <c r="WHP24" s="37"/>
      <c r="WHQ24" s="37"/>
      <c r="WHR24" s="37"/>
      <c r="WHS24" s="37"/>
      <c r="WHT24" s="37"/>
      <c r="WHU24" s="37"/>
      <c r="WHV24" s="37"/>
      <c r="WHW24" s="37"/>
      <c r="WHX24" s="37"/>
      <c r="WHY24" s="37"/>
      <c r="WHZ24" s="37"/>
      <c r="WIA24" s="37"/>
      <c r="WIB24" s="37"/>
      <c r="WIC24" s="37"/>
      <c r="WID24" s="37"/>
      <c r="WIE24" s="37"/>
      <c r="WIF24" s="37"/>
      <c r="WIG24" s="37"/>
      <c r="WIH24" s="37"/>
      <c r="WII24" s="37"/>
      <c r="WIJ24" s="37"/>
      <c r="WIK24" s="37"/>
      <c r="WIL24" s="37"/>
      <c r="WIM24" s="37"/>
      <c r="WIN24" s="37"/>
      <c r="WIO24" s="37"/>
      <c r="WIP24" s="37"/>
      <c r="WIQ24" s="37"/>
      <c r="WIR24" s="37"/>
      <c r="WIS24" s="37"/>
      <c r="WIT24" s="37"/>
      <c r="WIU24" s="37"/>
      <c r="WIV24" s="37"/>
      <c r="WIW24" s="37"/>
      <c r="WIX24" s="37"/>
      <c r="WIY24" s="37"/>
      <c r="WIZ24" s="37"/>
      <c r="WJA24" s="37"/>
      <c r="WJB24" s="37"/>
      <c r="WJC24" s="37"/>
      <c r="WJD24" s="37"/>
      <c r="WJE24" s="37"/>
      <c r="WJF24" s="37"/>
      <c r="WJG24" s="37"/>
      <c r="WJH24" s="37"/>
      <c r="WJI24" s="37"/>
      <c r="WJJ24" s="37"/>
      <c r="WJK24" s="37"/>
      <c r="WJL24" s="37"/>
      <c r="WJM24" s="37"/>
      <c r="WJN24" s="37"/>
      <c r="WJO24" s="37"/>
      <c r="WJP24" s="37"/>
      <c r="WJQ24" s="37"/>
      <c r="WJR24" s="37"/>
      <c r="WJS24" s="37"/>
      <c r="WJT24" s="37"/>
      <c r="WJU24" s="37"/>
      <c r="WJV24" s="37"/>
      <c r="WJW24" s="37"/>
      <c r="WJX24" s="37"/>
      <c r="WJY24" s="37"/>
      <c r="WJZ24" s="37"/>
      <c r="WKA24" s="37"/>
      <c r="WKB24" s="37"/>
      <c r="WKC24" s="37"/>
      <c r="WKD24" s="37"/>
      <c r="WKE24" s="37"/>
      <c r="WKF24" s="37"/>
      <c r="WKG24" s="37"/>
      <c r="WKH24" s="37"/>
      <c r="WKI24" s="37"/>
      <c r="WKJ24" s="37"/>
      <c r="WKK24" s="37"/>
      <c r="WKL24" s="37"/>
      <c r="WKM24" s="37"/>
      <c r="WKN24" s="37"/>
      <c r="WKO24" s="37"/>
      <c r="WKP24" s="37"/>
      <c r="WKQ24" s="37"/>
      <c r="WKR24" s="37"/>
      <c r="WKS24" s="37"/>
      <c r="WKT24" s="37"/>
      <c r="WKU24" s="37"/>
      <c r="WKV24" s="37"/>
      <c r="WKW24" s="37"/>
      <c r="WKX24" s="37"/>
      <c r="WKY24" s="37"/>
      <c r="WKZ24" s="37"/>
      <c r="WLA24" s="37"/>
      <c r="WLB24" s="37"/>
      <c r="WLC24" s="37"/>
      <c r="WLD24" s="37"/>
      <c r="WLE24" s="37"/>
      <c r="WLF24" s="37"/>
      <c r="WLG24" s="37"/>
      <c r="WLH24" s="37"/>
      <c r="WLI24" s="37"/>
      <c r="WLJ24" s="37"/>
      <c r="WLK24" s="37"/>
      <c r="WLL24" s="37"/>
      <c r="WLM24" s="37"/>
      <c r="WLN24" s="37"/>
      <c r="WLO24" s="37"/>
      <c r="WLP24" s="37"/>
      <c r="WLQ24" s="37"/>
      <c r="WLR24" s="37"/>
      <c r="WLS24" s="37"/>
      <c r="WLT24" s="37"/>
      <c r="WLU24" s="37"/>
      <c r="WLV24" s="37"/>
      <c r="WLW24" s="37"/>
      <c r="WLX24" s="37"/>
      <c r="WLY24" s="37"/>
      <c r="WLZ24" s="37"/>
      <c r="WMA24" s="37"/>
      <c r="WMB24" s="37"/>
      <c r="WMC24" s="37"/>
      <c r="WMD24" s="37"/>
      <c r="WME24" s="37"/>
      <c r="WMF24" s="37"/>
      <c r="WMG24" s="37"/>
      <c r="WMH24" s="37"/>
      <c r="WMI24" s="37"/>
      <c r="WMJ24" s="37"/>
      <c r="WMK24" s="37"/>
      <c r="WML24" s="37"/>
      <c r="WMM24" s="37"/>
      <c r="WMN24" s="37"/>
      <c r="WMO24" s="37"/>
      <c r="WMP24" s="37"/>
      <c r="WMQ24" s="37"/>
      <c r="WMR24" s="37"/>
      <c r="WMS24" s="37"/>
      <c r="WMT24" s="37"/>
      <c r="WMU24" s="37"/>
      <c r="WMV24" s="37"/>
      <c r="WMW24" s="37"/>
      <c r="WMX24" s="37"/>
      <c r="WMY24" s="37"/>
      <c r="WMZ24" s="37"/>
      <c r="WNA24" s="37"/>
      <c r="WNB24" s="37"/>
      <c r="WNC24" s="37"/>
      <c r="WND24" s="37"/>
      <c r="WNE24" s="37"/>
      <c r="WNF24" s="37"/>
      <c r="WNG24" s="37"/>
      <c r="WNH24" s="37"/>
      <c r="WNI24" s="37"/>
      <c r="WNJ24" s="37"/>
      <c r="WNK24" s="37"/>
      <c r="WNL24" s="37"/>
      <c r="WNM24" s="37"/>
      <c r="WNN24" s="37"/>
      <c r="WNO24" s="37"/>
      <c r="WNP24" s="37"/>
      <c r="WNQ24" s="37"/>
      <c r="WNR24" s="37"/>
      <c r="WNS24" s="37"/>
      <c r="WNT24" s="37"/>
      <c r="WNU24" s="37"/>
      <c r="WNV24" s="37"/>
      <c r="WNW24" s="37"/>
      <c r="WNX24" s="37"/>
      <c r="WNY24" s="37"/>
      <c r="WNZ24" s="37"/>
      <c r="WOA24" s="37"/>
      <c r="WOB24" s="37"/>
      <c r="WOC24" s="37"/>
      <c r="WOD24" s="37"/>
      <c r="WOE24" s="37"/>
      <c r="WOF24" s="37"/>
      <c r="WOG24" s="37"/>
      <c r="WOH24" s="37"/>
      <c r="WOI24" s="37"/>
      <c r="WOJ24" s="37"/>
      <c r="WOK24" s="37"/>
      <c r="WOL24" s="37"/>
      <c r="WOM24" s="37"/>
      <c r="WON24" s="37"/>
      <c r="WOO24" s="37"/>
      <c r="WOP24" s="37"/>
      <c r="WOQ24" s="37"/>
      <c r="WOR24" s="37"/>
      <c r="WOS24" s="37"/>
      <c r="WOT24" s="37"/>
      <c r="WOU24" s="37"/>
      <c r="WOV24" s="37"/>
      <c r="WOW24" s="37"/>
      <c r="WOX24" s="37"/>
      <c r="WOY24" s="37"/>
      <c r="WOZ24" s="37"/>
      <c r="WPA24" s="37"/>
      <c r="WPB24" s="37"/>
      <c r="WPC24" s="37"/>
      <c r="WPD24" s="37"/>
      <c r="WPE24" s="37"/>
      <c r="WPF24" s="37"/>
      <c r="WPG24" s="37"/>
      <c r="WPH24" s="37"/>
      <c r="WPI24" s="37"/>
      <c r="WPJ24" s="37"/>
      <c r="WPK24" s="37"/>
      <c r="WPL24" s="37"/>
      <c r="WPM24" s="37"/>
      <c r="WPN24" s="37"/>
      <c r="WPO24" s="37"/>
      <c r="WPP24" s="37"/>
      <c r="WPQ24" s="37"/>
      <c r="WPR24" s="37"/>
      <c r="WPS24" s="37"/>
      <c r="WPT24" s="37"/>
      <c r="WPU24" s="37"/>
      <c r="WPV24" s="37"/>
      <c r="WPW24" s="37"/>
      <c r="WPX24" s="37"/>
      <c r="WPY24" s="37"/>
      <c r="WPZ24" s="37"/>
      <c r="WQA24" s="37"/>
      <c r="WQB24" s="37"/>
      <c r="WQC24" s="37"/>
      <c r="WQD24" s="37"/>
      <c r="WQE24" s="37"/>
      <c r="WQF24" s="37"/>
      <c r="WQG24" s="37"/>
      <c r="WQH24" s="37"/>
      <c r="WQI24" s="37"/>
      <c r="WQJ24" s="37"/>
      <c r="WQK24" s="37"/>
      <c r="WQL24" s="37"/>
      <c r="WQM24" s="37"/>
      <c r="WQN24" s="37"/>
      <c r="WQO24" s="37"/>
      <c r="WQP24" s="37"/>
      <c r="WQQ24" s="37"/>
      <c r="WQR24" s="37"/>
      <c r="WQS24" s="37"/>
      <c r="WQT24" s="37"/>
      <c r="WQU24" s="37"/>
      <c r="WQV24" s="37"/>
      <c r="WQW24" s="37"/>
      <c r="WQX24" s="37"/>
      <c r="WQY24" s="37"/>
      <c r="WQZ24" s="37"/>
      <c r="WRA24" s="37"/>
      <c r="WRB24" s="37"/>
      <c r="WRC24" s="37"/>
      <c r="WRD24" s="37"/>
      <c r="WRE24" s="37"/>
      <c r="WRF24" s="37"/>
      <c r="WRG24" s="37"/>
      <c r="WRH24" s="37"/>
      <c r="WRI24" s="37"/>
      <c r="WRJ24" s="37"/>
      <c r="WRK24" s="37"/>
      <c r="WRL24" s="37"/>
      <c r="WRM24" s="37"/>
      <c r="WRN24" s="37"/>
      <c r="WRO24" s="37"/>
      <c r="WRP24" s="37"/>
      <c r="WRQ24" s="37"/>
      <c r="WRR24" s="37"/>
      <c r="WRS24" s="37"/>
      <c r="WRT24" s="37"/>
      <c r="WRU24" s="37"/>
      <c r="WRV24" s="37"/>
      <c r="WRW24" s="37"/>
      <c r="WRX24" s="37"/>
      <c r="WRY24" s="37"/>
      <c r="WRZ24" s="37"/>
      <c r="WSA24" s="37"/>
      <c r="WSB24" s="37"/>
      <c r="WSC24" s="37"/>
      <c r="WSD24" s="37"/>
      <c r="WSE24" s="37"/>
      <c r="WSF24" s="37"/>
      <c r="WSG24" s="37"/>
      <c r="WSH24" s="37"/>
      <c r="WSI24" s="37"/>
      <c r="WSJ24" s="37"/>
      <c r="WSK24" s="37"/>
      <c r="WSL24" s="37"/>
      <c r="WSM24" s="37"/>
      <c r="WSN24" s="37"/>
      <c r="WSO24" s="37"/>
      <c r="WSP24" s="37"/>
      <c r="WSQ24" s="37"/>
      <c r="WSR24" s="37"/>
      <c r="WSS24" s="37"/>
      <c r="WST24" s="37"/>
      <c r="WSU24" s="37"/>
      <c r="WSV24" s="37"/>
      <c r="WSW24" s="37"/>
      <c r="WSX24" s="37"/>
      <c r="WSY24" s="37"/>
      <c r="WSZ24" s="37"/>
      <c r="WTA24" s="37"/>
      <c r="WTB24" s="37"/>
      <c r="WTC24" s="37"/>
      <c r="WTD24" s="37"/>
      <c r="WTE24" s="37"/>
      <c r="WTF24" s="37"/>
      <c r="WTG24" s="37"/>
      <c r="WTH24" s="37"/>
      <c r="WTI24" s="37"/>
      <c r="WTJ24" s="37"/>
      <c r="WTK24" s="37"/>
      <c r="WTL24" s="37"/>
      <c r="WTM24" s="37"/>
      <c r="WTN24" s="37"/>
      <c r="WTO24" s="37"/>
      <c r="WTP24" s="37"/>
      <c r="WTQ24" s="37"/>
      <c r="WTR24" s="37"/>
      <c r="WTS24" s="37"/>
      <c r="WTT24" s="37"/>
      <c r="WTU24" s="37"/>
      <c r="WTV24" s="37"/>
      <c r="WTW24" s="37"/>
      <c r="WTX24" s="37"/>
      <c r="WTY24" s="37"/>
      <c r="WTZ24" s="37"/>
      <c r="WUA24" s="37"/>
      <c r="WUB24" s="37"/>
      <c r="WUC24" s="37"/>
      <c r="WUD24" s="37"/>
      <c r="WUE24" s="37"/>
      <c r="WUF24" s="37"/>
      <c r="WUG24" s="37"/>
      <c r="WUH24" s="37"/>
      <c r="WUI24" s="37"/>
      <c r="WUJ24" s="37"/>
      <c r="WUK24" s="37"/>
      <c r="WUL24" s="37"/>
      <c r="WUM24" s="37"/>
      <c r="WUN24" s="37"/>
      <c r="WUO24" s="37"/>
      <c r="WUP24" s="37"/>
      <c r="WUQ24" s="37"/>
      <c r="WUR24" s="37"/>
      <c r="WUS24" s="37"/>
      <c r="WUT24" s="37"/>
      <c r="WUU24" s="37"/>
      <c r="WUV24" s="37"/>
      <c r="WUW24" s="37"/>
      <c r="WUX24" s="37"/>
      <c r="WUY24" s="37"/>
      <c r="WUZ24" s="37"/>
      <c r="WVA24" s="37"/>
      <c r="WVB24" s="37"/>
      <c r="WVC24" s="37"/>
      <c r="WVD24" s="37"/>
      <c r="WVE24" s="37"/>
      <c r="WVF24" s="37"/>
      <c r="WVG24" s="37"/>
      <c r="WVH24" s="37"/>
      <c r="WVI24" s="37"/>
      <c r="WVJ24" s="37"/>
      <c r="WVK24" s="37"/>
      <c r="WVL24" s="37"/>
      <c r="WVM24" s="37"/>
      <c r="WVN24" s="37"/>
      <c r="WVO24" s="37"/>
      <c r="WVP24" s="37"/>
      <c r="WVQ24" s="37"/>
      <c r="WVR24" s="37"/>
      <c r="WVS24" s="37"/>
      <c r="WVT24" s="37"/>
      <c r="WVU24" s="37"/>
      <c r="WVV24" s="37"/>
      <c r="WVW24" s="37"/>
      <c r="WVX24" s="37"/>
      <c r="WVY24" s="37"/>
      <c r="WVZ24" s="37"/>
      <c r="WWA24" s="37"/>
      <c r="WWB24" s="37"/>
      <c r="WWC24" s="37"/>
      <c r="WWD24" s="37"/>
      <c r="WWE24" s="37"/>
      <c r="WWF24" s="37"/>
      <c r="WWG24" s="37"/>
      <c r="WWH24" s="37"/>
      <c r="WWI24" s="37"/>
      <c r="WWJ24" s="37"/>
      <c r="WWK24" s="37"/>
      <c r="WWL24" s="37"/>
      <c r="WWM24" s="37"/>
      <c r="WWN24" s="37"/>
      <c r="WWO24" s="37"/>
      <c r="WWP24" s="37"/>
      <c r="WWQ24" s="37"/>
      <c r="WWR24" s="37"/>
      <c r="WWS24" s="37"/>
      <c r="WWT24" s="37"/>
      <c r="WWU24" s="37"/>
      <c r="WWV24" s="37"/>
      <c r="WWW24" s="37"/>
      <c r="WWX24" s="37"/>
      <c r="WWY24" s="37"/>
      <c r="WWZ24" s="37"/>
      <c r="WXA24" s="37"/>
      <c r="WXB24" s="37"/>
      <c r="WXC24" s="37"/>
      <c r="WXD24" s="37"/>
      <c r="WXE24" s="37"/>
      <c r="WXF24" s="37"/>
      <c r="WXG24" s="37"/>
      <c r="WXH24" s="37"/>
      <c r="WXI24" s="37"/>
      <c r="WXJ24" s="37"/>
      <c r="WXK24" s="37"/>
      <c r="WXL24" s="37"/>
      <c r="WXM24" s="37"/>
      <c r="WXN24" s="37"/>
      <c r="WXO24" s="37"/>
      <c r="WXP24" s="37"/>
      <c r="WXQ24" s="37"/>
      <c r="WXR24" s="37"/>
      <c r="WXS24" s="37"/>
      <c r="WXT24" s="37"/>
      <c r="WXU24" s="37"/>
      <c r="WXV24" s="37"/>
      <c r="WXW24" s="37"/>
      <c r="WXX24" s="37"/>
      <c r="WXY24" s="37"/>
      <c r="WXZ24" s="37"/>
      <c r="WYA24" s="37"/>
      <c r="WYB24" s="37"/>
      <c r="WYC24" s="37"/>
      <c r="WYD24" s="37"/>
      <c r="WYE24" s="37"/>
      <c r="WYF24" s="37"/>
      <c r="WYG24" s="37"/>
      <c r="WYH24" s="37"/>
      <c r="WYI24" s="37"/>
      <c r="WYJ24" s="37"/>
      <c r="WYK24" s="37"/>
      <c r="WYL24" s="37"/>
      <c r="WYM24" s="37"/>
      <c r="WYN24" s="37"/>
      <c r="WYO24" s="37"/>
      <c r="WYP24" s="37"/>
      <c r="WYQ24" s="37"/>
      <c r="WYR24" s="37"/>
      <c r="WYS24" s="37"/>
      <c r="WYT24" s="37"/>
      <c r="WYU24" s="37"/>
      <c r="WYV24" s="37"/>
      <c r="WYW24" s="37"/>
      <c r="WYX24" s="37"/>
      <c r="WYY24" s="37"/>
      <c r="WYZ24" s="37"/>
      <c r="WZA24" s="37"/>
      <c r="WZB24" s="37"/>
      <c r="WZC24" s="37"/>
      <c r="WZD24" s="37"/>
      <c r="WZE24" s="37"/>
      <c r="WZF24" s="37"/>
      <c r="WZG24" s="37"/>
      <c r="WZH24" s="37"/>
      <c r="WZI24" s="37"/>
      <c r="WZJ24" s="37"/>
      <c r="WZK24" s="37"/>
      <c r="WZL24" s="37"/>
      <c r="WZM24" s="37"/>
      <c r="WZN24" s="37"/>
      <c r="WZO24" s="37"/>
      <c r="WZP24" s="37"/>
      <c r="WZQ24" s="37"/>
      <c r="WZR24" s="37"/>
      <c r="WZS24" s="37"/>
      <c r="WZT24" s="37"/>
      <c r="WZU24" s="37"/>
      <c r="WZV24" s="37"/>
      <c r="WZW24" s="37"/>
      <c r="WZX24" s="37"/>
      <c r="WZY24" s="37"/>
      <c r="WZZ24" s="37"/>
      <c r="XAA24" s="37"/>
      <c r="XAB24" s="37"/>
      <c r="XAC24" s="37"/>
      <c r="XAD24" s="37"/>
      <c r="XAE24" s="37"/>
      <c r="XAF24" s="37"/>
      <c r="XAG24" s="37"/>
      <c r="XAH24" s="37"/>
      <c r="XAI24" s="37"/>
      <c r="XAJ24" s="37"/>
      <c r="XAK24" s="37"/>
      <c r="XAL24" s="37"/>
      <c r="XAM24" s="37"/>
      <c r="XAN24" s="37"/>
      <c r="XAO24" s="37"/>
      <c r="XAP24" s="37"/>
      <c r="XAQ24" s="37"/>
      <c r="XAR24" s="37"/>
      <c r="XAS24" s="37"/>
      <c r="XAT24" s="37"/>
      <c r="XAU24" s="37"/>
      <c r="XAV24" s="37"/>
      <c r="XAW24" s="37"/>
      <c r="XAX24" s="37"/>
      <c r="XAY24" s="37"/>
      <c r="XAZ24" s="37"/>
      <c r="XBA24" s="37"/>
      <c r="XBB24" s="37"/>
      <c r="XBC24" s="37"/>
      <c r="XBD24" s="37"/>
      <c r="XBE24" s="37"/>
      <c r="XBF24" s="37"/>
      <c r="XBG24" s="37"/>
      <c r="XBH24" s="37"/>
      <c r="XBI24" s="37"/>
      <c r="XBJ24" s="37"/>
      <c r="XBK24" s="37"/>
      <c r="XBL24" s="37"/>
      <c r="XBM24" s="37"/>
      <c r="XBN24" s="37"/>
      <c r="XBO24" s="37"/>
      <c r="XBP24" s="37"/>
      <c r="XBQ24" s="37"/>
      <c r="XBR24" s="37"/>
      <c r="XBS24" s="37"/>
      <c r="XBT24" s="37"/>
      <c r="XBU24" s="37"/>
      <c r="XBV24" s="37"/>
      <c r="XBW24" s="37"/>
      <c r="XBX24" s="37"/>
      <c r="XBY24" s="37"/>
      <c r="XBZ24" s="37"/>
      <c r="XCA24" s="37"/>
      <c r="XCB24" s="37"/>
      <c r="XCC24" s="37"/>
      <c r="XCD24" s="37"/>
      <c r="XCE24" s="37"/>
      <c r="XCF24" s="37"/>
      <c r="XCG24" s="37"/>
      <c r="XCH24" s="37"/>
      <c r="XCI24" s="37"/>
      <c r="XCJ24" s="37"/>
      <c r="XCK24" s="37"/>
      <c r="XCL24" s="37"/>
      <c r="XCM24" s="37"/>
      <c r="XCN24" s="37"/>
      <c r="XCO24" s="37"/>
      <c r="XCP24" s="37"/>
      <c r="XCQ24" s="37"/>
      <c r="XCR24" s="37"/>
      <c r="XCS24" s="37"/>
      <c r="XCT24" s="37"/>
      <c r="XCU24" s="37"/>
      <c r="XCV24" s="37"/>
      <c r="XCW24" s="37"/>
      <c r="XCX24" s="37"/>
      <c r="XCY24" s="37"/>
      <c r="XCZ24" s="37"/>
      <c r="XDA24" s="37"/>
      <c r="XDB24" s="37"/>
      <c r="XDC24" s="37"/>
      <c r="XDD24" s="37"/>
      <c r="XDE24" s="37"/>
      <c r="XDF24" s="37"/>
      <c r="XDG24" s="37"/>
      <c r="XDH24" s="37"/>
      <c r="XDI24" s="37"/>
      <c r="XDJ24" s="37"/>
      <c r="XDK24" s="37"/>
      <c r="XDL24" s="37"/>
      <c r="XDM24" s="37"/>
      <c r="XDN24" s="37"/>
      <c r="XDO24" s="37"/>
      <c r="XDP24" s="37"/>
      <c r="XDQ24" s="37"/>
      <c r="XDR24" s="37"/>
      <c r="XDS24" s="37"/>
      <c r="XDT24" s="37"/>
      <c r="XDU24" s="37"/>
      <c r="XDV24" s="37"/>
      <c r="XDW24" s="37"/>
      <c r="XDX24" s="37"/>
      <c r="XDY24" s="37"/>
      <c r="XDZ24" s="37"/>
      <c r="XEA24" s="37"/>
      <c r="XEB24" s="37"/>
      <c r="XEC24" s="37"/>
      <c r="XED24" s="37"/>
      <c r="XEE24" s="37"/>
      <c r="XEF24" s="37"/>
      <c r="XEG24" s="37"/>
      <c r="XEH24" s="37"/>
      <c r="XEI24" s="37"/>
      <c r="XEJ24" s="37"/>
      <c r="XEK24" s="37"/>
      <c r="XEL24" s="37"/>
      <c r="XEM24" s="37"/>
      <c r="XEN24" s="37"/>
      <c r="XEO24" s="37"/>
      <c r="XEP24" s="37"/>
      <c r="XEQ24" s="37"/>
      <c r="XER24" s="37"/>
      <c r="XES24" s="37"/>
      <c r="XET24" s="37"/>
      <c r="XEU24" s="37"/>
      <c r="XEV24" s="37"/>
      <c r="XEW24" s="37"/>
      <c r="XEX24" s="37"/>
      <c r="XEY24" s="37"/>
      <c r="XEZ24" s="37"/>
      <c r="XFA24" s="37"/>
      <c r="XFB24" s="37"/>
    </row>
    <row r="25" s="36" customFormat="1" spans="1:17">
      <c r="A25" s="57"/>
      <c r="B25" s="76"/>
      <c r="C25" s="59"/>
      <c r="D25" s="74" t="s">
        <v>54</v>
      </c>
      <c r="E25" s="75"/>
      <c r="F25" s="74">
        <v>1</v>
      </c>
      <c r="G25" s="74">
        <v>18</v>
      </c>
      <c r="H25" s="74">
        <v>18</v>
      </c>
      <c r="I25" s="74">
        <v>0</v>
      </c>
      <c r="J25" s="109"/>
      <c r="K25" s="109"/>
      <c r="L25" s="109"/>
      <c r="M25" s="109">
        <v>1</v>
      </c>
      <c r="N25" s="110"/>
      <c r="O25" s="111"/>
      <c r="P25" s="111"/>
      <c r="Q25" s="111"/>
    </row>
    <row r="26" s="36" customFormat="1" ht="43.2" spans="1:17">
      <c r="A26" s="57"/>
      <c r="B26" s="76"/>
      <c r="C26" s="59"/>
      <c r="D26" s="77" t="s">
        <v>55</v>
      </c>
      <c r="E26" s="78" t="s">
        <v>56</v>
      </c>
      <c r="F26" s="11">
        <v>2</v>
      </c>
      <c r="G26" s="11" t="s">
        <v>57</v>
      </c>
      <c r="H26" s="11">
        <v>36</v>
      </c>
      <c r="I26" s="11" t="s">
        <v>58</v>
      </c>
      <c r="J26" s="112" t="s">
        <v>59</v>
      </c>
      <c r="K26" s="113"/>
      <c r="L26" s="113"/>
      <c r="M26" s="113"/>
      <c r="N26" s="113"/>
      <c r="O26" s="113"/>
      <c r="P26" s="113"/>
      <c r="Q26" s="129"/>
    </row>
    <row r="27" s="36" customFormat="1" ht="19.2" spans="1:17">
      <c r="A27" s="57"/>
      <c r="B27" s="76"/>
      <c r="C27" s="59"/>
      <c r="D27" s="74" t="s">
        <v>60</v>
      </c>
      <c r="E27" s="75" t="s">
        <v>61</v>
      </c>
      <c r="F27" s="74">
        <v>2</v>
      </c>
      <c r="G27" s="74">
        <v>36</v>
      </c>
      <c r="H27" s="74">
        <v>36</v>
      </c>
      <c r="I27" s="74">
        <v>0</v>
      </c>
      <c r="J27" s="74"/>
      <c r="K27" s="74">
        <v>2</v>
      </c>
      <c r="L27" s="110"/>
      <c r="M27" s="110"/>
      <c r="N27" s="110"/>
      <c r="O27" s="111"/>
      <c r="P27" s="111"/>
      <c r="Q27" s="111"/>
    </row>
    <row r="28" s="36" customFormat="1" ht="19.2" spans="1:17">
      <c r="A28" s="57"/>
      <c r="B28" s="76"/>
      <c r="C28" s="59"/>
      <c r="D28" s="79" t="s">
        <v>62</v>
      </c>
      <c r="E28" s="80" t="s">
        <v>63</v>
      </c>
      <c r="F28" s="81">
        <v>1</v>
      </c>
      <c r="G28" s="63">
        <v>18</v>
      </c>
      <c r="H28" s="63">
        <v>18</v>
      </c>
      <c r="I28" s="63">
        <v>0</v>
      </c>
      <c r="J28" s="114"/>
      <c r="K28" s="114"/>
      <c r="L28" s="114"/>
      <c r="M28" s="114">
        <v>1</v>
      </c>
      <c r="N28" s="114"/>
      <c r="O28" s="114"/>
      <c r="P28" s="114"/>
      <c r="Q28" s="114"/>
    </row>
    <row r="29" s="36" customFormat="1" ht="19.2" spans="1:17">
      <c r="A29" s="57"/>
      <c r="B29" s="82"/>
      <c r="C29" s="59"/>
      <c r="D29" s="79" t="s">
        <v>64</v>
      </c>
      <c r="E29" s="80" t="s">
        <v>65</v>
      </c>
      <c r="F29" s="81">
        <v>2</v>
      </c>
      <c r="G29" s="63">
        <v>40</v>
      </c>
      <c r="H29" s="63">
        <v>0</v>
      </c>
      <c r="I29" s="63">
        <v>40</v>
      </c>
      <c r="J29" s="114"/>
      <c r="K29" s="114"/>
      <c r="L29" s="114"/>
      <c r="M29" s="114"/>
      <c r="N29" s="114">
        <v>2</v>
      </c>
      <c r="O29" s="114"/>
      <c r="P29" s="114"/>
      <c r="Q29" s="114"/>
    </row>
    <row r="30" s="36" customFormat="1" spans="1:17">
      <c r="A30" s="57"/>
      <c r="B30" s="63" t="s">
        <v>66</v>
      </c>
      <c r="C30" s="59"/>
      <c r="D30" s="74" t="s">
        <v>67</v>
      </c>
      <c r="E30" s="75" t="s">
        <v>68</v>
      </c>
      <c r="F30" s="74">
        <v>2</v>
      </c>
      <c r="G30" s="74">
        <v>36</v>
      </c>
      <c r="H30" s="74">
        <v>36</v>
      </c>
      <c r="I30" s="74">
        <v>0</v>
      </c>
      <c r="J30" s="74">
        <v>2</v>
      </c>
      <c r="K30" s="74"/>
      <c r="L30" s="74"/>
      <c r="M30" s="74"/>
      <c r="N30" s="74"/>
      <c r="O30" s="111"/>
      <c r="P30" s="111"/>
      <c r="Q30" s="111"/>
    </row>
    <row r="31" s="36" customFormat="1" spans="1:17">
      <c r="A31" s="63" t="s">
        <v>69</v>
      </c>
      <c r="B31" s="63"/>
      <c r="C31" s="63"/>
      <c r="D31" s="63"/>
      <c r="E31" s="63"/>
      <c r="F31" s="81">
        <f>SUM(F6:F30)</f>
        <v>47</v>
      </c>
      <c r="G31" s="30">
        <v>1034</v>
      </c>
      <c r="H31" s="30">
        <f>SUM(H6:H30)</f>
        <v>736</v>
      </c>
      <c r="I31" s="30">
        <v>298</v>
      </c>
      <c r="J31" s="30">
        <v>12</v>
      </c>
      <c r="K31" s="30">
        <f>SUM(K6:K29)</f>
        <v>13</v>
      </c>
      <c r="L31" s="30">
        <f>SUM(L6:L29)</f>
        <v>11</v>
      </c>
      <c r="M31" s="115">
        <f>SUM(M6:M29)</f>
        <v>7</v>
      </c>
      <c r="N31" s="115">
        <f>SUM(N20:N29)</f>
        <v>4</v>
      </c>
      <c r="O31" s="115">
        <f t="shared" ref="O31:Q31" si="0">SUM(O6:O29)</f>
        <v>0</v>
      </c>
      <c r="P31" s="115">
        <f t="shared" si="0"/>
        <v>0</v>
      </c>
      <c r="Q31" s="115">
        <f t="shared" si="0"/>
        <v>0</v>
      </c>
    </row>
    <row r="32" s="36" customFormat="1" ht="28.8" spans="1:17">
      <c r="A32" s="52" t="s">
        <v>70</v>
      </c>
      <c r="B32" s="63" t="s">
        <v>71</v>
      </c>
      <c r="C32" s="83" t="s">
        <v>72</v>
      </c>
      <c r="D32" s="84"/>
      <c r="E32" s="84"/>
      <c r="F32" s="84"/>
      <c r="G32" s="84"/>
      <c r="H32" s="84"/>
      <c r="I32" s="116"/>
      <c r="J32" s="117"/>
      <c r="K32" s="118"/>
      <c r="L32" s="118"/>
      <c r="M32" s="118"/>
      <c r="N32" s="118"/>
      <c r="O32" s="118"/>
      <c r="P32" s="118"/>
      <c r="Q32" s="130"/>
    </row>
    <row r="33" s="36" customFormat="1" ht="15" customHeight="1" spans="1:17">
      <c r="A33" s="58"/>
      <c r="B33" s="51" t="s">
        <v>73</v>
      </c>
      <c r="C33" s="85" t="s">
        <v>74</v>
      </c>
      <c r="D33" s="86"/>
      <c r="E33" s="86"/>
      <c r="F33" s="86"/>
      <c r="G33" s="86"/>
      <c r="H33" s="86"/>
      <c r="I33" s="119"/>
      <c r="J33" s="120"/>
      <c r="K33" s="121"/>
      <c r="L33" s="121"/>
      <c r="M33" s="121"/>
      <c r="N33" s="121"/>
      <c r="O33" s="121"/>
      <c r="P33" s="121"/>
      <c r="Q33" s="131"/>
    </row>
    <row r="34" s="36" customFormat="1" ht="15" customHeight="1" spans="1:17">
      <c r="A34" s="87"/>
      <c r="B34" s="85"/>
      <c r="C34" s="88" t="s">
        <v>75</v>
      </c>
      <c r="D34" s="88"/>
      <c r="E34" s="88"/>
      <c r="F34" s="89">
        <v>6</v>
      </c>
      <c r="G34" s="89">
        <v>109</v>
      </c>
      <c r="H34" s="89">
        <v>75</v>
      </c>
      <c r="I34" s="89">
        <v>34</v>
      </c>
      <c r="J34" s="120"/>
      <c r="K34" s="121"/>
      <c r="L34" s="121"/>
      <c r="M34" s="121"/>
      <c r="N34" s="121"/>
      <c r="O34" s="121"/>
      <c r="P34" s="121"/>
      <c r="Q34" s="131"/>
    </row>
    <row r="35" s="36" customFormat="1" ht="15" customHeight="1" spans="1:17">
      <c r="A35" s="90" t="s">
        <v>76</v>
      </c>
      <c r="B35" s="90" t="s">
        <v>77</v>
      </c>
      <c r="C35" s="88">
        <v>19</v>
      </c>
      <c r="D35" s="60" t="s">
        <v>78</v>
      </c>
      <c r="E35" s="91" t="s">
        <v>79</v>
      </c>
      <c r="F35" s="60">
        <v>2</v>
      </c>
      <c r="G35" s="60">
        <v>36</v>
      </c>
      <c r="H35" s="60">
        <v>36</v>
      </c>
      <c r="I35" s="60">
        <v>0</v>
      </c>
      <c r="J35" s="60">
        <v>2</v>
      </c>
      <c r="K35" s="60"/>
      <c r="L35" s="95"/>
      <c r="M35" s="95"/>
      <c r="N35" s="95"/>
      <c r="O35" s="95"/>
      <c r="P35" s="95"/>
      <c r="Q35" s="95"/>
    </row>
    <row r="36" s="36" customFormat="1" ht="15" customHeight="1" spans="1:17">
      <c r="A36" s="90"/>
      <c r="B36" s="90"/>
      <c r="C36" s="92"/>
      <c r="D36" s="60" t="s">
        <v>80</v>
      </c>
      <c r="E36" s="91" t="s">
        <v>81</v>
      </c>
      <c r="F36" s="60">
        <v>3</v>
      </c>
      <c r="G36" s="60">
        <v>60</v>
      </c>
      <c r="H36" s="60">
        <v>0</v>
      </c>
      <c r="I36" s="60">
        <v>60</v>
      </c>
      <c r="J36" s="60">
        <v>3</v>
      </c>
      <c r="K36" s="60"/>
      <c r="L36" s="95"/>
      <c r="M36" s="95"/>
      <c r="N36" s="95"/>
      <c r="O36" s="95"/>
      <c r="P36" s="95"/>
      <c r="Q36" s="95"/>
    </row>
    <row r="37" s="36" customFormat="1" ht="15" customHeight="1" spans="1:17">
      <c r="A37" s="90"/>
      <c r="B37" s="90"/>
      <c r="C37" s="92"/>
      <c r="D37" s="60" t="s">
        <v>82</v>
      </c>
      <c r="E37" s="91" t="s">
        <v>83</v>
      </c>
      <c r="F37" s="60">
        <v>2</v>
      </c>
      <c r="G37" s="60">
        <v>36</v>
      </c>
      <c r="H37" s="60">
        <v>36</v>
      </c>
      <c r="I37" s="60">
        <v>0</v>
      </c>
      <c r="J37" s="60">
        <v>2</v>
      </c>
      <c r="K37" s="60"/>
      <c r="L37" s="95"/>
      <c r="M37" s="95"/>
      <c r="N37" s="95"/>
      <c r="O37" s="95"/>
      <c r="P37" s="95"/>
      <c r="Q37" s="95"/>
    </row>
    <row r="38" s="36" customFormat="1" ht="15" customHeight="1" spans="1:17">
      <c r="A38" s="90"/>
      <c r="B38" s="90"/>
      <c r="C38" s="92"/>
      <c r="D38" s="60" t="s">
        <v>84</v>
      </c>
      <c r="E38" s="91" t="s">
        <v>85</v>
      </c>
      <c r="F38" s="60">
        <v>3</v>
      </c>
      <c r="G38" s="60">
        <v>60</v>
      </c>
      <c r="H38" s="60">
        <v>0</v>
      </c>
      <c r="I38" s="60">
        <v>60</v>
      </c>
      <c r="J38" s="60">
        <v>3</v>
      </c>
      <c r="K38" s="60"/>
      <c r="L38" s="95"/>
      <c r="M38" s="95"/>
      <c r="N38" s="95"/>
      <c r="O38" s="95"/>
      <c r="P38" s="95"/>
      <c r="Q38" s="95"/>
    </row>
    <row r="39" s="36" customFormat="1" ht="21" customHeight="1" spans="1:17">
      <c r="A39" s="90"/>
      <c r="B39" s="90"/>
      <c r="C39" s="92"/>
      <c r="D39" s="60" t="s">
        <v>86</v>
      </c>
      <c r="E39" s="91" t="s">
        <v>87</v>
      </c>
      <c r="F39" s="60">
        <v>2</v>
      </c>
      <c r="G39" s="60">
        <v>36</v>
      </c>
      <c r="H39" s="60">
        <v>36</v>
      </c>
      <c r="I39" s="60">
        <v>0</v>
      </c>
      <c r="J39" s="60"/>
      <c r="K39" s="60">
        <v>2</v>
      </c>
      <c r="L39" s="95"/>
      <c r="M39" s="95"/>
      <c r="N39" s="95"/>
      <c r="O39" s="95"/>
      <c r="P39" s="95"/>
      <c r="Q39" s="95"/>
    </row>
    <row r="40" s="36" customFormat="1" ht="15" customHeight="1" spans="1:17">
      <c r="A40" s="90"/>
      <c r="B40" s="90"/>
      <c r="C40" s="92"/>
      <c r="D40" s="60" t="s">
        <v>88</v>
      </c>
      <c r="E40" s="91" t="s">
        <v>89</v>
      </c>
      <c r="F40" s="60">
        <v>3</v>
      </c>
      <c r="G40" s="60">
        <v>60</v>
      </c>
      <c r="H40" s="60">
        <v>0</v>
      </c>
      <c r="I40" s="60">
        <v>60</v>
      </c>
      <c r="J40" s="60"/>
      <c r="K40" s="60">
        <v>3</v>
      </c>
      <c r="L40" s="95"/>
      <c r="M40" s="95"/>
      <c r="N40" s="95"/>
      <c r="O40" s="95"/>
      <c r="P40" s="95"/>
      <c r="Q40" s="95"/>
    </row>
    <row r="41" s="36" customFormat="1" ht="35" customHeight="1" spans="1:17">
      <c r="A41" s="90"/>
      <c r="B41" s="90"/>
      <c r="C41" s="92"/>
      <c r="D41" s="60" t="s">
        <v>90</v>
      </c>
      <c r="E41" s="91" t="s">
        <v>91</v>
      </c>
      <c r="F41" s="60">
        <v>2</v>
      </c>
      <c r="G41" s="60">
        <v>40</v>
      </c>
      <c r="H41" s="93">
        <v>0</v>
      </c>
      <c r="I41" s="60">
        <v>40</v>
      </c>
      <c r="J41" s="60"/>
      <c r="K41" s="60">
        <v>2</v>
      </c>
      <c r="L41" s="95"/>
      <c r="M41" s="95"/>
      <c r="N41" s="95"/>
      <c r="O41" s="95"/>
      <c r="P41" s="95"/>
      <c r="Q41" s="95"/>
    </row>
    <row r="42" s="36" customFormat="1" ht="33" customHeight="1" spans="1:17">
      <c r="A42" s="90"/>
      <c r="B42" s="90"/>
      <c r="C42" s="94"/>
      <c r="D42" s="60" t="s">
        <v>92</v>
      </c>
      <c r="E42" s="91" t="s">
        <v>93</v>
      </c>
      <c r="F42" s="60">
        <v>2</v>
      </c>
      <c r="G42" s="60">
        <v>36</v>
      </c>
      <c r="H42" s="60">
        <v>36</v>
      </c>
      <c r="I42" s="60">
        <v>0</v>
      </c>
      <c r="J42" s="60"/>
      <c r="K42" s="60">
        <v>2</v>
      </c>
      <c r="L42" s="95"/>
      <c r="M42" s="95"/>
      <c r="N42" s="95"/>
      <c r="O42" s="95"/>
      <c r="P42" s="95"/>
      <c r="Q42" s="95"/>
    </row>
    <row r="43" s="36" customFormat="1" ht="15" customHeight="1" spans="1:17">
      <c r="A43" s="90"/>
      <c r="B43" s="87" t="s">
        <v>94</v>
      </c>
      <c r="C43" s="92">
        <v>18</v>
      </c>
      <c r="D43" s="95" t="s">
        <v>95</v>
      </c>
      <c r="E43" s="96" t="s">
        <v>96</v>
      </c>
      <c r="F43" s="95">
        <v>3</v>
      </c>
      <c r="G43" s="95">
        <v>60</v>
      </c>
      <c r="H43" s="95">
        <v>20</v>
      </c>
      <c r="I43" s="95">
        <v>40</v>
      </c>
      <c r="J43" s="95"/>
      <c r="K43" s="95"/>
      <c r="L43" s="95">
        <v>3</v>
      </c>
      <c r="M43" s="95"/>
      <c r="N43" s="95"/>
      <c r="O43" s="95"/>
      <c r="P43" s="95"/>
      <c r="Q43" s="95"/>
    </row>
    <row r="44" s="36" customFormat="1" ht="15" customHeight="1" spans="1:17">
      <c r="A44" s="90"/>
      <c r="B44" s="87"/>
      <c r="C44" s="92"/>
      <c r="D44" s="95" t="s">
        <v>97</v>
      </c>
      <c r="E44" s="96" t="s">
        <v>98</v>
      </c>
      <c r="F44" s="95">
        <v>2</v>
      </c>
      <c r="G44" s="95">
        <v>40</v>
      </c>
      <c r="H44" s="95">
        <v>20</v>
      </c>
      <c r="I44" s="95">
        <v>20</v>
      </c>
      <c r="J44" s="95"/>
      <c r="K44" s="95"/>
      <c r="L44" s="95"/>
      <c r="M44" s="95">
        <v>2</v>
      </c>
      <c r="N44" s="95"/>
      <c r="O44" s="95"/>
      <c r="P44" s="95"/>
      <c r="Q44" s="95"/>
    </row>
    <row r="45" s="36" customFormat="1" ht="27" customHeight="1" spans="1:17">
      <c r="A45" s="90"/>
      <c r="B45" s="87"/>
      <c r="C45" s="92"/>
      <c r="D45" s="95" t="s">
        <v>99</v>
      </c>
      <c r="E45" s="97" t="s">
        <v>100</v>
      </c>
      <c r="F45" s="95">
        <v>3</v>
      </c>
      <c r="G45" s="95">
        <v>60</v>
      </c>
      <c r="H45" s="95">
        <v>20</v>
      </c>
      <c r="I45" s="95">
        <v>40</v>
      </c>
      <c r="J45" s="122"/>
      <c r="K45" s="122"/>
      <c r="L45" s="95"/>
      <c r="M45" s="95">
        <v>3</v>
      </c>
      <c r="N45" s="95"/>
      <c r="O45" s="95"/>
      <c r="P45" s="95"/>
      <c r="Q45" s="122"/>
    </row>
    <row r="46" s="36" customFormat="1" ht="15" customHeight="1" spans="1:17">
      <c r="A46" s="90"/>
      <c r="B46" s="87"/>
      <c r="C46" s="92"/>
      <c r="D46" s="95" t="s">
        <v>101</v>
      </c>
      <c r="E46" s="98" t="s">
        <v>102</v>
      </c>
      <c r="F46" s="95">
        <v>2</v>
      </c>
      <c r="G46" s="95">
        <v>40</v>
      </c>
      <c r="H46" s="95">
        <v>20</v>
      </c>
      <c r="I46" s="95">
        <v>20</v>
      </c>
      <c r="J46" s="122"/>
      <c r="K46" s="122"/>
      <c r="L46" s="95"/>
      <c r="M46" s="95">
        <v>2</v>
      </c>
      <c r="N46" s="95"/>
      <c r="O46" s="95"/>
      <c r="P46" s="95"/>
      <c r="Q46" s="122"/>
    </row>
    <row r="47" s="36" customFormat="1" ht="30" customHeight="1" spans="1:17">
      <c r="A47" s="90"/>
      <c r="B47" s="87"/>
      <c r="C47" s="92"/>
      <c r="D47" s="95" t="s">
        <v>103</v>
      </c>
      <c r="E47" s="97" t="s">
        <v>104</v>
      </c>
      <c r="F47" s="95">
        <v>2</v>
      </c>
      <c r="G47" s="95">
        <v>36</v>
      </c>
      <c r="H47" s="95">
        <v>36</v>
      </c>
      <c r="I47" s="95">
        <v>0</v>
      </c>
      <c r="J47" s="95"/>
      <c r="K47" s="95"/>
      <c r="L47" s="95"/>
      <c r="M47" s="95"/>
      <c r="N47" s="95"/>
      <c r="O47" s="95">
        <v>2</v>
      </c>
      <c r="P47" s="95"/>
      <c r="Q47" s="95"/>
    </row>
    <row r="48" s="36" customFormat="1" ht="31" customHeight="1" spans="1:18">
      <c r="A48" s="90"/>
      <c r="B48" s="87"/>
      <c r="C48" s="92"/>
      <c r="D48" s="95" t="s">
        <v>105</v>
      </c>
      <c r="E48" s="96" t="s">
        <v>106</v>
      </c>
      <c r="F48" s="95">
        <v>3</v>
      </c>
      <c r="G48" s="95">
        <v>60</v>
      </c>
      <c r="H48" s="95">
        <v>30</v>
      </c>
      <c r="I48" s="95">
        <v>30</v>
      </c>
      <c r="J48" s="95"/>
      <c r="K48" s="95"/>
      <c r="L48" s="95">
        <v>3</v>
      </c>
      <c r="M48" s="95"/>
      <c r="N48" s="95"/>
      <c r="O48" s="95"/>
      <c r="P48" s="95"/>
      <c r="Q48" s="95"/>
      <c r="R48" s="132"/>
    </row>
    <row r="49" s="36" customFormat="1" ht="49" customHeight="1" spans="1:17">
      <c r="A49" s="90"/>
      <c r="B49" s="87"/>
      <c r="C49" s="92"/>
      <c r="D49" s="95" t="s">
        <v>107</v>
      </c>
      <c r="E49" s="96" t="s">
        <v>108</v>
      </c>
      <c r="F49" s="95">
        <v>3</v>
      </c>
      <c r="G49" s="95">
        <v>60</v>
      </c>
      <c r="H49" s="95">
        <v>20</v>
      </c>
      <c r="I49" s="95">
        <v>40</v>
      </c>
      <c r="J49" s="123"/>
      <c r="K49" s="123"/>
      <c r="L49" s="74">
        <v>3</v>
      </c>
      <c r="M49" s="74"/>
      <c r="N49" s="95"/>
      <c r="O49" s="95"/>
      <c r="P49" s="95"/>
      <c r="Q49" s="95"/>
    </row>
    <row r="50" s="36" customFormat="1" ht="21" customHeight="1" spans="1:17">
      <c r="A50" s="90"/>
      <c r="B50" s="90" t="s">
        <v>109</v>
      </c>
      <c r="C50" s="90"/>
      <c r="D50" s="90"/>
      <c r="E50" s="90"/>
      <c r="F50" s="95">
        <f t="shared" ref="F50:M50" si="1">SUM(F35:F49)</f>
        <v>37</v>
      </c>
      <c r="G50" s="95">
        <f t="shared" si="1"/>
        <v>720</v>
      </c>
      <c r="H50" s="95">
        <f t="shared" si="1"/>
        <v>310</v>
      </c>
      <c r="I50" s="95">
        <f t="shared" si="1"/>
        <v>410</v>
      </c>
      <c r="J50" s="95">
        <f t="shared" si="1"/>
        <v>10</v>
      </c>
      <c r="K50" s="95">
        <f t="shared" si="1"/>
        <v>9</v>
      </c>
      <c r="L50" s="95">
        <f t="shared" si="1"/>
        <v>9</v>
      </c>
      <c r="M50" s="95">
        <f t="shared" si="1"/>
        <v>7</v>
      </c>
      <c r="N50" s="95">
        <v>0</v>
      </c>
      <c r="O50" s="95">
        <f>SUM(O35:O49)</f>
        <v>2</v>
      </c>
      <c r="P50" s="95">
        <f>SUM(P35:P49)</f>
        <v>0</v>
      </c>
      <c r="Q50" s="95">
        <v>0</v>
      </c>
    </row>
    <row r="51" s="36" customFormat="1" spans="1:17">
      <c r="A51" s="90"/>
      <c r="B51" s="79" t="s">
        <v>110</v>
      </c>
      <c r="C51" s="88">
        <v>18</v>
      </c>
      <c r="D51" s="99" t="s">
        <v>111</v>
      </c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33"/>
    </row>
    <row r="52" s="36" customFormat="1" spans="1:17">
      <c r="A52" s="90"/>
      <c r="B52" s="87"/>
      <c r="C52" s="92"/>
      <c r="D52" s="95" t="s">
        <v>112</v>
      </c>
      <c r="E52" s="97" t="s">
        <v>113</v>
      </c>
      <c r="F52" s="95">
        <v>3</v>
      </c>
      <c r="G52" s="95">
        <v>60</v>
      </c>
      <c r="H52" s="95">
        <v>20</v>
      </c>
      <c r="I52" s="95">
        <v>40</v>
      </c>
      <c r="J52" s="122"/>
      <c r="K52" s="122"/>
      <c r="L52" s="95"/>
      <c r="M52" s="95">
        <v>3</v>
      </c>
      <c r="N52" s="95"/>
      <c r="O52" s="95"/>
      <c r="P52" s="95"/>
      <c r="Q52" s="122"/>
    </row>
    <row r="53" s="36" customFormat="1" spans="1:17">
      <c r="A53" s="90"/>
      <c r="B53" s="87"/>
      <c r="C53" s="92"/>
      <c r="D53" s="95" t="s">
        <v>114</v>
      </c>
      <c r="E53" s="98" t="s">
        <v>115</v>
      </c>
      <c r="F53" s="95">
        <v>3</v>
      </c>
      <c r="G53" s="95">
        <v>60</v>
      </c>
      <c r="H53" s="95">
        <v>20</v>
      </c>
      <c r="I53" s="95">
        <v>40</v>
      </c>
      <c r="J53" s="122"/>
      <c r="K53" s="122"/>
      <c r="L53" s="95"/>
      <c r="M53" s="95"/>
      <c r="N53" s="95">
        <v>3</v>
      </c>
      <c r="O53" s="95"/>
      <c r="P53" s="95"/>
      <c r="Q53" s="122"/>
    </row>
    <row r="54" s="36" customFormat="1" ht="26" customHeight="1" spans="1:17">
      <c r="A54" s="90"/>
      <c r="B54" s="87"/>
      <c r="C54" s="92"/>
      <c r="D54" s="95" t="s">
        <v>116</v>
      </c>
      <c r="E54" s="98" t="s">
        <v>117</v>
      </c>
      <c r="F54" s="95">
        <v>3</v>
      </c>
      <c r="G54" s="95">
        <v>60</v>
      </c>
      <c r="H54" s="95">
        <v>30</v>
      </c>
      <c r="I54" s="95">
        <v>30</v>
      </c>
      <c r="J54" s="122"/>
      <c r="K54" s="122"/>
      <c r="L54" s="95"/>
      <c r="M54" s="95"/>
      <c r="N54" s="95">
        <v>3</v>
      </c>
      <c r="O54" s="95"/>
      <c r="P54" s="95"/>
      <c r="Q54" s="122"/>
    </row>
    <row r="55" s="36" customFormat="1" ht="30" customHeight="1" spans="1:17">
      <c r="A55" s="90"/>
      <c r="B55" s="87"/>
      <c r="C55" s="92"/>
      <c r="D55" s="95" t="s">
        <v>118</v>
      </c>
      <c r="E55" s="97" t="s">
        <v>119</v>
      </c>
      <c r="F55" s="95">
        <v>3</v>
      </c>
      <c r="G55" s="95">
        <v>60</v>
      </c>
      <c r="H55" s="95">
        <v>20</v>
      </c>
      <c r="I55" s="95">
        <v>40</v>
      </c>
      <c r="J55" s="95"/>
      <c r="K55" s="95"/>
      <c r="L55" s="95"/>
      <c r="M55" s="95"/>
      <c r="N55" s="95"/>
      <c r="O55" s="95">
        <v>3</v>
      </c>
      <c r="P55" s="95"/>
      <c r="Q55" s="122"/>
    </row>
    <row r="56" s="36" customFormat="1" ht="24" customHeight="1" spans="1:17">
      <c r="A56" s="90"/>
      <c r="B56" s="87"/>
      <c r="C56" s="92"/>
      <c r="D56" s="95" t="s">
        <v>120</v>
      </c>
      <c r="E56" s="97" t="s">
        <v>121</v>
      </c>
      <c r="F56" s="95">
        <v>3</v>
      </c>
      <c r="G56" s="95">
        <v>60</v>
      </c>
      <c r="H56" s="95">
        <v>20</v>
      </c>
      <c r="I56" s="95">
        <v>40</v>
      </c>
      <c r="J56" s="95"/>
      <c r="K56" s="95"/>
      <c r="L56" s="95"/>
      <c r="M56" s="95"/>
      <c r="N56" s="95"/>
      <c r="O56" s="95"/>
      <c r="P56" s="95">
        <v>3</v>
      </c>
      <c r="Q56" s="122"/>
    </row>
    <row r="57" s="36" customFormat="1" ht="27" customHeight="1" spans="1:17">
      <c r="A57" s="90"/>
      <c r="B57" s="87"/>
      <c r="C57" s="92"/>
      <c r="D57" s="95" t="s">
        <v>122</v>
      </c>
      <c r="E57" s="97" t="s">
        <v>123</v>
      </c>
      <c r="F57" s="95">
        <v>3</v>
      </c>
      <c r="G57" s="95">
        <v>60</v>
      </c>
      <c r="H57" s="95">
        <v>20</v>
      </c>
      <c r="I57" s="95">
        <v>40</v>
      </c>
      <c r="J57" s="95"/>
      <c r="K57" s="95"/>
      <c r="L57" s="95"/>
      <c r="M57" s="95"/>
      <c r="N57" s="95"/>
      <c r="O57" s="95">
        <v>3</v>
      </c>
      <c r="P57" s="95"/>
      <c r="Q57" s="95"/>
    </row>
    <row r="58" s="36" customFormat="1" ht="15" customHeight="1" spans="1:17">
      <c r="A58" s="90"/>
      <c r="B58" s="87"/>
      <c r="C58" s="92"/>
      <c r="D58" s="99" t="s">
        <v>124</v>
      </c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33"/>
    </row>
    <row r="59" s="36" customFormat="1" ht="30" customHeight="1" spans="1:17">
      <c r="A59" s="90"/>
      <c r="B59" s="87"/>
      <c r="C59" s="92"/>
      <c r="D59" s="95" t="s">
        <v>125</v>
      </c>
      <c r="E59" s="97" t="s">
        <v>126</v>
      </c>
      <c r="F59" s="101">
        <v>3</v>
      </c>
      <c r="G59" s="95">
        <v>60</v>
      </c>
      <c r="H59" s="95">
        <v>20</v>
      </c>
      <c r="I59" s="95">
        <v>40</v>
      </c>
      <c r="J59" s="95"/>
      <c r="K59" s="95"/>
      <c r="L59" s="95"/>
      <c r="M59" s="95"/>
      <c r="N59" s="95">
        <v>3</v>
      </c>
      <c r="O59" s="95"/>
      <c r="P59" s="95"/>
      <c r="Q59" s="95"/>
    </row>
    <row r="60" s="36" customFormat="1" ht="28" customHeight="1" spans="1:17">
      <c r="A60" s="90"/>
      <c r="B60" s="87"/>
      <c r="C60" s="92"/>
      <c r="D60" s="95" t="s">
        <v>127</v>
      </c>
      <c r="E60" s="98" t="s">
        <v>128</v>
      </c>
      <c r="F60" s="95">
        <v>3</v>
      </c>
      <c r="G60" s="95">
        <v>60</v>
      </c>
      <c r="H60" s="95">
        <v>20</v>
      </c>
      <c r="I60" s="95">
        <v>40</v>
      </c>
      <c r="J60" s="95"/>
      <c r="K60" s="95"/>
      <c r="L60" s="95"/>
      <c r="M60" s="95"/>
      <c r="N60" s="95">
        <v>3</v>
      </c>
      <c r="O60" s="95"/>
      <c r="P60" s="95"/>
      <c r="Q60" s="95"/>
    </row>
    <row r="61" s="36" customFormat="1" ht="28" customHeight="1" spans="1:17">
      <c r="A61" s="90"/>
      <c r="B61" s="87"/>
      <c r="C61" s="92"/>
      <c r="D61" s="95" t="s">
        <v>129</v>
      </c>
      <c r="E61" s="98" t="s">
        <v>130</v>
      </c>
      <c r="F61" s="95">
        <v>3</v>
      </c>
      <c r="G61" s="95">
        <v>60</v>
      </c>
      <c r="H61" s="95">
        <v>20</v>
      </c>
      <c r="I61" s="95">
        <v>40</v>
      </c>
      <c r="J61" s="95"/>
      <c r="K61" s="95"/>
      <c r="L61" s="95"/>
      <c r="M61" s="95">
        <v>3</v>
      </c>
      <c r="N61" s="95"/>
      <c r="O61" s="95"/>
      <c r="P61" s="95"/>
      <c r="Q61" s="95"/>
    </row>
    <row r="62" s="36" customFormat="1" ht="34" customHeight="1" spans="1:17">
      <c r="A62" s="90"/>
      <c r="B62" s="87"/>
      <c r="C62" s="92"/>
      <c r="D62" s="95" t="s">
        <v>131</v>
      </c>
      <c r="E62" s="97" t="s">
        <v>132</v>
      </c>
      <c r="F62" s="95">
        <v>3</v>
      </c>
      <c r="G62" s="95">
        <v>60</v>
      </c>
      <c r="H62" s="95">
        <v>20</v>
      </c>
      <c r="I62" s="95">
        <v>40</v>
      </c>
      <c r="J62" s="95"/>
      <c r="K62" s="95"/>
      <c r="L62" s="95"/>
      <c r="M62" s="95"/>
      <c r="N62" s="95"/>
      <c r="O62" s="95">
        <v>3</v>
      </c>
      <c r="P62" s="95"/>
      <c r="Q62" s="95"/>
    </row>
    <row r="63" s="36" customFormat="1" ht="31" customHeight="1" spans="1:17">
      <c r="A63" s="90"/>
      <c r="B63" s="87"/>
      <c r="C63" s="92"/>
      <c r="D63" s="95" t="s">
        <v>133</v>
      </c>
      <c r="E63" s="97" t="s">
        <v>134</v>
      </c>
      <c r="F63" s="95">
        <v>3</v>
      </c>
      <c r="G63" s="95">
        <v>60</v>
      </c>
      <c r="H63" s="101">
        <v>20</v>
      </c>
      <c r="I63" s="101">
        <v>40</v>
      </c>
      <c r="J63" s="95"/>
      <c r="K63" s="95"/>
      <c r="L63" s="95"/>
      <c r="M63" s="95"/>
      <c r="N63" s="95"/>
      <c r="O63" s="95">
        <v>3</v>
      </c>
      <c r="P63" s="95"/>
      <c r="Q63" s="95"/>
    </row>
    <row r="64" s="36" customFormat="1" ht="40" customHeight="1" spans="1:17">
      <c r="A64" s="90"/>
      <c r="B64" s="102"/>
      <c r="C64" s="94"/>
      <c r="D64" s="101" t="s">
        <v>135</v>
      </c>
      <c r="E64" s="97" t="s">
        <v>136</v>
      </c>
      <c r="F64" s="101">
        <v>3</v>
      </c>
      <c r="G64" s="101">
        <v>60</v>
      </c>
      <c r="H64" s="101">
        <v>20</v>
      </c>
      <c r="I64" s="101">
        <v>40</v>
      </c>
      <c r="J64" s="95"/>
      <c r="K64" s="95"/>
      <c r="L64" s="95"/>
      <c r="M64" s="95"/>
      <c r="N64" s="95"/>
      <c r="O64" s="95"/>
      <c r="P64" s="95">
        <v>3</v>
      </c>
      <c r="Q64" s="95"/>
    </row>
    <row r="65" s="36" customFormat="1" ht="18" customHeight="1" spans="1:16382">
      <c r="A65" s="90"/>
      <c r="B65" s="90" t="s">
        <v>137</v>
      </c>
      <c r="C65" s="90"/>
      <c r="D65" s="90"/>
      <c r="E65" s="90"/>
      <c r="F65" s="95">
        <f t="shared" ref="F65:P65" si="2">SUM(F59:F64)</f>
        <v>18</v>
      </c>
      <c r="G65" s="95">
        <f t="shared" si="2"/>
        <v>360</v>
      </c>
      <c r="H65" s="95">
        <f t="shared" si="2"/>
        <v>120</v>
      </c>
      <c r="I65" s="95">
        <f t="shared" si="2"/>
        <v>240</v>
      </c>
      <c r="J65" s="90">
        <f t="shared" si="2"/>
        <v>0</v>
      </c>
      <c r="K65" s="90">
        <f t="shared" si="2"/>
        <v>0</v>
      </c>
      <c r="L65" s="90">
        <f t="shared" si="2"/>
        <v>0</v>
      </c>
      <c r="M65" s="90">
        <f t="shared" si="2"/>
        <v>3</v>
      </c>
      <c r="N65" s="90">
        <f t="shared" si="2"/>
        <v>6</v>
      </c>
      <c r="O65" s="90">
        <f t="shared" si="2"/>
        <v>6</v>
      </c>
      <c r="P65" s="90">
        <f t="shared" si="2"/>
        <v>3</v>
      </c>
      <c r="Q65" s="90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  <c r="DG65" s="37"/>
      <c r="DH65" s="37"/>
      <c r="DI65" s="37"/>
      <c r="DJ65" s="37"/>
      <c r="DK65" s="37"/>
      <c r="DL65" s="37"/>
      <c r="DM65" s="37"/>
      <c r="DN65" s="37"/>
      <c r="DO65" s="37"/>
      <c r="DP65" s="37"/>
      <c r="DQ65" s="37"/>
      <c r="DR65" s="37"/>
      <c r="DS65" s="37"/>
      <c r="DT65" s="37"/>
      <c r="DU65" s="37"/>
      <c r="DV65" s="37"/>
      <c r="DW65" s="37"/>
      <c r="DX65" s="37"/>
      <c r="DY65" s="37"/>
      <c r="DZ65" s="37"/>
      <c r="EA65" s="37"/>
      <c r="EB65" s="37"/>
      <c r="EC65" s="37"/>
      <c r="ED65" s="37"/>
      <c r="EE65" s="37"/>
      <c r="EF65" s="37"/>
      <c r="EG65" s="37"/>
      <c r="EH65" s="37"/>
      <c r="EI65" s="37"/>
      <c r="EJ65" s="37"/>
      <c r="EK65" s="37"/>
      <c r="EL65" s="37"/>
      <c r="EM65" s="37"/>
      <c r="EN65" s="37"/>
      <c r="EO65" s="37"/>
      <c r="EP65" s="37"/>
      <c r="EQ65" s="37"/>
      <c r="ER65" s="37"/>
      <c r="ES65" s="37"/>
      <c r="ET65" s="37"/>
      <c r="EU65" s="37"/>
      <c r="EV65" s="37"/>
      <c r="EW65" s="37"/>
      <c r="EX65" s="37"/>
      <c r="EY65" s="37"/>
      <c r="EZ65" s="37"/>
      <c r="FA65" s="37"/>
      <c r="FB65" s="37"/>
      <c r="FC65" s="37"/>
      <c r="FD65" s="37"/>
      <c r="FE65" s="37"/>
      <c r="FF65" s="37"/>
      <c r="FG65" s="37"/>
      <c r="FH65" s="37"/>
      <c r="FI65" s="37"/>
      <c r="FJ65" s="37"/>
      <c r="FK65" s="37"/>
      <c r="FL65" s="37"/>
      <c r="FM65" s="37"/>
      <c r="FN65" s="37"/>
      <c r="FO65" s="37"/>
      <c r="FP65" s="37"/>
      <c r="FQ65" s="37"/>
      <c r="FR65" s="37"/>
      <c r="FS65" s="37"/>
      <c r="FT65" s="37"/>
      <c r="FU65" s="37"/>
      <c r="FV65" s="37"/>
      <c r="FW65" s="37"/>
      <c r="FX65" s="37"/>
      <c r="FY65" s="37"/>
      <c r="FZ65" s="37"/>
      <c r="GA65" s="37"/>
      <c r="GB65" s="37"/>
      <c r="GC65" s="37"/>
      <c r="GD65" s="37"/>
      <c r="GE65" s="37"/>
      <c r="GF65" s="37"/>
      <c r="GG65" s="37"/>
      <c r="GH65" s="37"/>
      <c r="GI65" s="37"/>
      <c r="GJ65" s="37"/>
      <c r="GK65" s="37"/>
      <c r="GL65" s="37"/>
      <c r="GM65" s="37"/>
      <c r="GN65" s="37"/>
      <c r="GO65" s="37"/>
      <c r="GP65" s="37"/>
      <c r="GQ65" s="37"/>
      <c r="GR65" s="37"/>
      <c r="GS65" s="37"/>
      <c r="GT65" s="37"/>
      <c r="GU65" s="37"/>
      <c r="GV65" s="37"/>
      <c r="GW65" s="37"/>
      <c r="GX65" s="37"/>
      <c r="GY65" s="37"/>
      <c r="GZ65" s="37"/>
      <c r="HA65" s="37"/>
      <c r="HB65" s="37"/>
      <c r="HC65" s="37"/>
      <c r="HD65" s="37"/>
      <c r="HE65" s="37"/>
      <c r="HF65" s="37"/>
      <c r="HG65" s="37"/>
      <c r="HH65" s="37"/>
      <c r="HI65" s="37"/>
      <c r="HJ65" s="37"/>
      <c r="HK65" s="37"/>
      <c r="HL65" s="37"/>
      <c r="HM65" s="37"/>
      <c r="HN65" s="37"/>
      <c r="HO65" s="37"/>
      <c r="HP65" s="37"/>
      <c r="HQ65" s="37"/>
      <c r="HR65" s="37"/>
      <c r="HS65" s="37"/>
      <c r="HT65" s="37"/>
      <c r="HU65" s="37"/>
      <c r="HV65" s="37"/>
      <c r="HW65" s="37"/>
      <c r="HX65" s="37"/>
      <c r="HY65" s="37"/>
      <c r="HZ65" s="37"/>
      <c r="IA65" s="37"/>
      <c r="IB65" s="37"/>
      <c r="IC65" s="37"/>
      <c r="ID65" s="37"/>
      <c r="IE65" s="37"/>
      <c r="IF65" s="37"/>
      <c r="IG65" s="37"/>
      <c r="IH65" s="37"/>
      <c r="II65" s="37"/>
      <c r="IJ65" s="37"/>
      <c r="IK65" s="37"/>
      <c r="IL65" s="37"/>
      <c r="IM65" s="37"/>
      <c r="IN65" s="37"/>
      <c r="IO65" s="37"/>
      <c r="IP65" s="37"/>
      <c r="IQ65" s="37"/>
      <c r="IR65" s="37"/>
      <c r="IS65" s="37"/>
      <c r="IT65" s="37"/>
      <c r="IU65" s="37"/>
      <c r="IV65" s="37"/>
      <c r="IW65" s="37"/>
      <c r="IX65" s="37"/>
      <c r="IY65" s="37"/>
      <c r="IZ65" s="37"/>
      <c r="JA65" s="37"/>
      <c r="JB65" s="37"/>
      <c r="JC65" s="37"/>
      <c r="JD65" s="37"/>
      <c r="JE65" s="37"/>
      <c r="JF65" s="37"/>
      <c r="JG65" s="37"/>
      <c r="JH65" s="37"/>
      <c r="JI65" s="37"/>
      <c r="JJ65" s="37"/>
      <c r="JK65" s="37"/>
      <c r="JL65" s="37"/>
      <c r="JM65" s="37"/>
      <c r="JN65" s="37"/>
      <c r="JO65" s="37"/>
      <c r="JP65" s="37"/>
      <c r="JQ65" s="37"/>
      <c r="JR65" s="37"/>
      <c r="JS65" s="37"/>
      <c r="JT65" s="37"/>
      <c r="JU65" s="37"/>
      <c r="JV65" s="37"/>
      <c r="JW65" s="37"/>
      <c r="JX65" s="37"/>
      <c r="JY65" s="37"/>
      <c r="JZ65" s="37"/>
      <c r="KA65" s="37"/>
      <c r="KB65" s="37"/>
      <c r="KC65" s="37"/>
      <c r="KD65" s="37"/>
      <c r="KE65" s="37"/>
      <c r="KF65" s="37"/>
      <c r="KG65" s="37"/>
      <c r="KH65" s="37"/>
      <c r="KI65" s="37"/>
      <c r="KJ65" s="37"/>
      <c r="KK65" s="37"/>
      <c r="KL65" s="37"/>
      <c r="KM65" s="37"/>
      <c r="KN65" s="37"/>
      <c r="KO65" s="37"/>
      <c r="KP65" s="37"/>
      <c r="KQ65" s="37"/>
      <c r="KR65" s="37"/>
      <c r="KS65" s="37"/>
      <c r="KT65" s="37"/>
      <c r="KU65" s="37"/>
      <c r="KV65" s="37"/>
      <c r="KW65" s="37"/>
      <c r="KX65" s="37"/>
      <c r="KY65" s="37"/>
      <c r="KZ65" s="37"/>
      <c r="LA65" s="37"/>
      <c r="LB65" s="37"/>
      <c r="LC65" s="37"/>
      <c r="LD65" s="37"/>
      <c r="LE65" s="37"/>
      <c r="LF65" s="37"/>
      <c r="LG65" s="37"/>
      <c r="LH65" s="37"/>
      <c r="LI65" s="37"/>
      <c r="LJ65" s="37"/>
      <c r="LK65" s="37"/>
      <c r="LL65" s="37"/>
      <c r="LM65" s="37"/>
      <c r="LN65" s="37"/>
      <c r="LO65" s="37"/>
      <c r="LP65" s="37"/>
      <c r="LQ65" s="37"/>
      <c r="LR65" s="37"/>
      <c r="LS65" s="37"/>
      <c r="LT65" s="37"/>
      <c r="LU65" s="37"/>
      <c r="LV65" s="37"/>
      <c r="LW65" s="37"/>
      <c r="LX65" s="37"/>
      <c r="LY65" s="37"/>
      <c r="LZ65" s="37"/>
      <c r="MA65" s="37"/>
      <c r="MB65" s="37"/>
      <c r="MC65" s="37"/>
      <c r="MD65" s="37"/>
      <c r="ME65" s="37"/>
      <c r="MF65" s="37"/>
      <c r="MG65" s="37"/>
      <c r="MH65" s="37"/>
      <c r="MI65" s="37"/>
      <c r="MJ65" s="37"/>
      <c r="MK65" s="37"/>
      <c r="ML65" s="37"/>
      <c r="MM65" s="37"/>
      <c r="MN65" s="37"/>
      <c r="MO65" s="37"/>
      <c r="MP65" s="37"/>
      <c r="MQ65" s="37"/>
      <c r="MR65" s="37"/>
      <c r="MS65" s="37"/>
      <c r="MT65" s="37"/>
      <c r="MU65" s="37"/>
      <c r="MV65" s="37"/>
      <c r="MW65" s="37"/>
      <c r="MX65" s="37"/>
      <c r="MY65" s="37"/>
      <c r="MZ65" s="37"/>
      <c r="NA65" s="37"/>
      <c r="NB65" s="37"/>
      <c r="NC65" s="37"/>
      <c r="ND65" s="37"/>
      <c r="NE65" s="37"/>
      <c r="NF65" s="37"/>
      <c r="NG65" s="37"/>
      <c r="NH65" s="37"/>
      <c r="NI65" s="37"/>
      <c r="NJ65" s="37"/>
      <c r="NK65" s="37"/>
      <c r="NL65" s="37"/>
      <c r="NM65" s="37"/>
      <c r="NN65" s="37"/>
      <c r="NO65" s="37"/>
      <c r="NP65" s="37"/>
      <c r="NQ65" s="37"/>
      <c r="NR65" s="37"/>
      <c r="NS65" s="37"/>
      <c r="NT65" s="37"/>
      <c r="NU65" s="37"/>
      <c r="NV65" s="37"/>
      <c r="NW65" s="37"/>
      <c r="NX65" s="37"/>
      <c r="NY65" s="37"/>
      <c r="NZ65" s="37"/>
      <c r="OA65" s="37"/>
      <c r="OB65" s="37"/>
      <c r="OC65" s="37"/>
      <c r="OD65" s="37"/>
      <c r="OE65" s="37"/>
      <c r="OF65" s="37"/>
      <c r="OG65" s="37"/>
      <c r="OH65" s="37"/>
      <c r="OI65" s="37"/>
      <c r="OJ65" s="37"/>
      <c r="OK65" s="37"/>
      <c r="OL65" s="37"/>
      <c r="OM65" s="37"/>
      <c r="ON65" s="37"/>
      <c r="OO65" s="37"/>
      <c r="OP65" s="37"/>
      <c r="OQ65" s="37"/>
      <c r="OR65" s="37"/>
      <c r="OS65" s="37"/>
      <c r="OT65" s="37"/>
      <c r="OU65" s="37"/>
      <c r="OV65" s="37"/>
      <c r="OW65" s="37"/>
      <c r="OX65" s="37"/>
      <c r="OY65" s="37"/>
      <c r="OZ65" s="37"/>
      <c r="PA65" s="37"/>
      <c r="PB65" s="37"/>
      <c r="PC65" s="37"/>
      <c r="PD65" s="37"/>
      <c r="PE65" s="37"/>
      <c r="PF65" s="37"/>
      <c r="PG65" s="37"/>
      <c r="PH65" s="37"/>
      <c r="PI65" s="37"/>
      <c r="PJ65" s="37"/>
      <c r="PK65" s="37"/>
      <c r="PL65" s="37"/>
      <c r="PM65" s="37"/>
      <c r="PN65" s="37"/>
      <c r="PO65" s="37"/>
      <c r="PP65" s="37"/>
      <c r="PQ65" s="37"/>
      <c r="PR65" s="37"/>
      <c r="PS65" s="37"/>
      <c r="PT65" s="37"/>
      <c r="PU65" s="37"/>
      <c r="PV65" s="37"/>
      <c r="PW65" s="37"/>
      <c r="PX65" s="37"/>
      <c r="PY65" s="37"/>
      <c r="PZ65" s="37"/>
      <c r="QA65" s="37"/>
      <c r="QB65" s="37"/>
      <c r="QC65" s="37"/>
      <c r="QD65" s="37"/>
      <c r="QE65" s="37"/>
      <c r="QF65" s="37"/>
      <c r="QG65" s="37"/>
      <c r="QH65" s="37"/>
      <c r="QI65" s="37"/>
      <c r="QJ65" s="37"/>
      <c r="QK65" s="37"/>
      <c r="QL65" s="37"/>
      <c r="QM65" s="37"/>
      <c r="QN65" s="37"/>
      <c r="QO65" s="37"/>
      <c r="QP65" s="37"/>
      <c r="QQ65" s="37"/>
      <c r="QR65" s="37"/>
      <c r="QS65" s="37"/>
      <c r="QT65" s="37"/>
      <c r="QU65" s="37"/>
      <c r="QV65" s="37"/>
      <c r="QW65" s="37"/>
      <c r="QX65" s="37"/>
      <c r="QY65" s="37"/>
      <c r="QZ65" s="37"/>
      <c r="RA65" s="37"/>
      <c r="RB65" s="37"/>
      <c r="RC65" s="37"/>
      <c r="RD65" s="37"/>
      <c r="RE65" s="37"/>
      <c r="RF65" s="37"/>
      <c r="RG65" s="37"/>
      <c r="RH65" s="37"/>
      <c r="RI65" s="37"/>
      <c r="RJ65" s="37"/>
      <c r="RK65" s="37"/>
      <c r="RL65" s="37"/>
      <c r="RM65" s="37"/>
      <c r="RN65" s="37"/>
      <c r="RO65" s="37"/>
      <c r="RP65" s="37"/>
      <c r="RQ65" s="37"/>
      <c r="RR65" s="37"/>
      <c r="RS65" s="37"/>
      <c r="RT65" s="37"/>
      <c r="RU65" s="37"/>
      <c r="RV65" s="37"/>
      <c r="RW65" s="37"/>
      <c r="RX65" s="37"/>
      <c r="RY65" s="37"/>
      <c r="RZ65" s="37"/>
      <c r="SA65" s="37"/>
      <c r="SB65" s="37"/>
      <c r="SC65" s="37"/>
      <c r="SD65" s="37"/>
      <c r="SE65" s="37"/>
      <c r="SF65" s="37"/>
      <c r="SG65" s="37"/>
      <c r="SH65" s="37"/>
      <c r="SI65" s="37"/>
      <c r="SJ65" s="37"/>
      <c r="SK65" s="37"/>
      <c r="SL65" s="37"/>
      <c r="SM65" s="37"/>
      <c r="SN65" s="37"/>
      <c r="SO65" s="37"/>
      <c r="SP65" s="37"/>
      <c r="SQ65" s="37"/>
      <c r="SR65" s="37"/>
      <c r="SS65" s="37"/>
      <c r="ST65" s="37"/>
      <c r="SU65" s="37"/>
      <c r="SV65" s="37"/>
      <c r="SW65" s="37"/>
      <c r="SX65" s="37"/>
      <c r="SY65" s="37"/>
      <c r="SZ65" s="37"/>
      <c r="TA65" s="37"/>
      <c r="TB65" s="37"/>
      <c r="TC65" s="37"/>
      <c r="TD65" s="37"/>
      <c r="TE65" s="37"/>
      <c r="TF65" s="37"/>
      <c r="TG65" s="37"/>
      <c r="TH65" s="37"/>
      <c r="TI65" s="37"/>
      <c r="TJ65" s="37"/>
      <c r="TK65" s="37"/>
      <c r="TL65" s="37"/>
      <c r="TM65" s="37"/>
      <c r="TN65" s="37"/>
      <c r="TO65" s="37"/>
      <c r="TP65" s="37"/>
      <c r="TQ65" s="37"/>
      <c r="TR65" s="37"/>
      <c r="TS65" s="37"/>
      <c r="TT65" s="37"/>
      <c r="TU65" s="37"/>
      <c r="TV65" s="37"/>
      <c r="TW65" s="37"/>
      <c r="TX65" s="37"/>
      <c r="TY65" s="37"/>
      <c r="TZ65" s="37"/>
      <c r="UA65" s="37"/>
      <c r="UB65" s="37"/>
      <c r="UC65" s="37"/>
      <c r="UD65" s="37"/>
      <c r="UE65" s="37"/>
      <c r="UF65" s="37"/>
      <c r="UG65" s="37"/>
      <c r="UH65" s="37"/>
      <c r="UI65" s="37"/>
      <c r="UJ65" s="37"/>
      <c r="UK65" s="37"/>
      <c r="UL65" s="37"/>
      <c r="UM65" s="37"/>
      <c r="UN65" s="37"/>
      <c r="UO65" s="37"/>
      <c r="UP65" s="37"/>
      <c r="UQ65" s="37"/>
      <c r="UR65" s="37"/>
      <c r="US65" s="37"/>
      <c r="UT65" s="37"/>
      <c r="UU65" s="37"/>
      <c r="UV65" s="37"/>
      <c r="UW65" s="37"/>
      <c r="UX65" s="37"/>
      <c r="UY65" s="37"/>
      <c r="UZ65" s="37"/>
      <c r="VA65" s="37"/>
      <c r="VB65" s="37"/>
      <c r="VC65" s="37"/>
      <c r="VD65" s="37"/>
      <c r="VE65" s="37"/>
      <c r="VF65" s="37"/>
      <c r="VG65" s="37"/>
      <c r="VH65" s="37"/>
      <c r="VI65" s="37"/>
      <c r="VJ65" s="37"/>
      <c r="VK65" s="37"/>
      <c r="VL65" s="37"/>
      <c r="VM65" s="37"/>
      <c r="VN65" s="37"/>
      <c r="VO65" s="37"/>
      <c r="VP65" s="37"/>
      <c r="VQ65" s="37"/>
      <c r="VR65" s="37"/>
      <c r="VS65" s="37"/>
      <c r="VT65" s="37"/>
      <c r="VU65" s="37"/>
      <c r="VV65" s="37"/>
      <c r="VW65" s="37"/>
      <c r="VX65" s="37"/>
      <c r="VY65" s="37"/>
      <c r="VZ65" s="37"/>
      <c r="WA65" s="37"/>
      <c r="WB65" s="37"/>
      <c r="WC65" s="37"/>
      <c r="WD65" s="37"/>
      <c r="WE65" s="37"/>
      <c r="WF65" s="37"/>
      <c r="WG65" s="37"/>
      <c r="WH65" s="37"/>
      <c r="WI65" s="37"/>
      <c r="WJ65" s="37"/>
      <c r="WK65" s="37"/>
      <c r="WL65" s="37"/>
      <c r="WM65" s="37"/>
      <c r="WN65" s="37"/>
      <c r="WO65" s="37"/>
      <c r="WP65" s="37"/>
      <c r="WQ65" s="37"/>
      <c r="WR65" s="37"/>
      <c r="WS65" s="37"/>
      <c r="WT65" s="37"/>
      <c r="WU65" s="37"/>
      <c r="WV65" s="37"/>
      <c r="WW65" s="37"/>
      <c r="WX65" s="37"/>
      <c r="WY65" s="37"/>
      <c r="WZ65" s="37"/>
      <c r="XA65" s="37"/>
      <c r="XB65" s="37"/>
      <c r="XC65" s="37"/>
      <c r="XD65" s="37"/>
      <c r="XE65" s="37"/>
      <c r="XF65" s="37"/>
      <c r="XG65" s="37"/>
      <c r="XH65" s="37"/>
      <c r="XI65" s="37"/>
      <c r="XJ65" s="37"/>
      <c r="XK65" s="37"/>
      <c r="XL65" s="37"/>
      <c r="XM65" s="37"/>
      <c r="XN65" s="37"/>
      <c r="XO65" s="37"/>
      <c r="XP65" s="37"/>
      <c r="XQ65" s="37"/>
      <c r="XR65" s="37"/>
      <c r="XS65" s="37"/>
      <c r="XT65" s="37"/>
      <c r="XU65" s="37"/>
      <c r="XV65" s="37"/>
      <c r="XW65" s="37"/>
      <c r="XX65" s="37"/>
      <c r="XY65" s="37"/>
      <c r="XZ65" s="37"/>
      <c r="YA65" s="37"/>
      <c r="YB65" s="37"/>
      <c r="YC65" s="37"/>
      <c r="YD65" s="37"/>
      <c r="YE65" s="37"/>
      <c r="YF65" s="37"/>
      <c r="YG65" s="37"/>
      <c r="YH65" s="37"/>
      <c r="YI65" s="37"/>
      <c r="YJ65" s="37"/>
      <c r="YK65" s="37"/>
      <c r="YL65" s="37"/>
      <c r="YM65" s="37"/>
      <c r="YN65" s="37"/>
      <c r="YO65" s="37"/>
      <c r="YP65" s="37"/>
      <c r="YQ65" s="37"/>
      <c r="YR65" s="37"/>
      <c r="YS65" s="37"/>
      <c r="YT65" s="37"/>
      <c r="YU65" s="37"/>
      <c r="YV65" s="37"/>
      <c r="YW65" s="37"/>
      <c r="YX65" s="37"/>
      <c r="YY65" s="37"/>
      <c r="YZ65" s="37"/>
      <c r="ZA65" s="37"/>
      <c r="ZB65" s="37"/>
      <c r="ZC65" s="37"/>
      <c r="ZD65" s="37"/>
      <c r="ZE65" s="37"/>
      <c r="ZF65" s="37"/>
      <c r="ZG65" s="37"/>
      <c r="ZH65" s="37"/>
      <c r="ZI65" s="37"/>
      <c r="ZJ65" s="37"/>
      <c r="ZK65" s="37"/>
      <c r="ZL65" s="37"/>
      <c r="ZM65" s="37"/>
      <c r="ZN65" s="37"/>
      <c r="ZO65" s="37"/>
      <c r="ZP65" s="37"/>
      <c r="ZQ65" s="37"/>
      <c r="ZR65" s="37"/>
      <c r="ZS65" s="37"/>
      <c r="ZT65" s="37"/>
      <c r="ZU65" s="37"/>
      <c r="ZV65" s="37"/>
      <c r="ZW65" s="37"/>
      <c r="ZX65" s="37"/>
      <c r="ZY65" s="37"/>
      <c r="ZZ65" s="37"/>
      <c r="AAA65" s="37"/>
      <c r="AAB65" s="37"/>
      <c r="AAC65" s="37"/>
      <c r="AAD65" s="37"/>
      <c r="AAE65" s="37"/>
      <c r="AAF65" s="37"/>
      <c r="AAG65" s="37"/>
      <c r="AAH65" s="37"/>
      <c r="AAI65" s="37"/>
      <c r="AAJ65" s="37"/>
      <c r="AAK65" s="37"/>
      <c r="AAL65" s="37"/>
      <c r="AAM65" s="37"/>
      <c r="AAN65" s="37"/>
      <c r="AAO65" s="37"/>
      <c r="AAP65" s="37"/>
      <c r="AAQ65" s="37"/>
      <c r="AAR65" s="37"/>
      <c r="AAS65" s="37"/>
      <c r="AAT65" s="37"/>
      <c r="AAU65" s="37"/>
      <c r="AAV65" s="37"/>
      <c r="AAW65" s="37"/>
      <c r="AAX65" s="37"/>
      <c r="AAY65" s="37"/>
      <c r="AAZ65" s="37"/>
      <c r="ABA65" s="37"/>
      <c r="ABB65" s="37"/>
      <c r="ABC65" s="37"/>
      <c r="ABD65" s="37"/>
      <c r="ABE65" s="37"/>
      <c r="ABF65" s="37"/>
      <c r="ABG65" s="37"/>
      <c r="ABH65" s="37"/>
      <c r="ABI65" s="37"/>
      <c r="ABJ65" s="37"/>
      <c r="ABK65" s="37"/>
      <c r="ABL65" s="37"/>
      <c r="ABM65" s="37"/>
      <c r="ABN65" s="37"/>
      <c r="ABO65" s="37"/>
      <c r="ABP65" s="37"/>
      <c r="ABQ65" s="37"/>
      <c r="ABR65" s="37"/>
      <c r="ABS65" s="37"/>
      <c r="ABT65" s="37"/>
      <c r="ABU65" s="37"/>
      <c r="ABV65" s="37"/>
      <c r="ABW65" s="37"/>
      <c r="ABX65" s="37"/>
      <c r="ABY65" s="37"/>
      <c r="ABZ65" s="37"/>
      <c r="ACA65" s="37"/>
      <c r="ACB65" s="37"/>
      <c r="ACC65" s="37"/>
      <c r="ACD65" s="37"/>
      <c r="ACE65" s="37"/>
      <c r="ACF65" s="37"/>
      <c r="ACG65" s="37"/>
      <c r="ACH65" s="37"/>
      <c r="ACI65" s="37"/>
      <c r="ACJ65" s="37"/>
      <c r="ACK65" s="37"/>
      <c r="ACL65" s="37"/>
      <c r="ACM65" s="37"/>
      <c r="ACN65" s="37"/>
      <c r="ACO65" s="37"/>
      <c r="ACP65" s="37"/>
      <c r="ACQ65" s="37"/>
      <c r="ACR65" s="37"/>
      <c r="ACS65" s="37"/>
      <c r="ACT65" s="37"/>
      <c r="ACU65" s="37"/>
      <c r="ACV65" s="37"/>
      <c r="ACW65" s="37"/>
      <c r="ACX65" s="37"/>
      <c r="ACY65" s="37"/>
      <c r="ACZ65" s="37"/>
      <c r="ADA65" s="37"/>
      <c r="ADB65" s="37"/>
      <c r="ADC65" s="37"/>
      <c r="ADD65" s="37"/>
      <c r="ADE65" s="37"/>
      <c r="ADF65" s="37"/>
      <c r="ADG65" s="37"/>
      <c r="ADH65" s="37"/>
      <c r="ADI65" s="37"/>
      <c r="ADJ65" s="37"/>
      <c r="ADK65" s="37"/>
      <c r="ADL65" s="37"/>
      <c r="ADM65" s="37"/>
      <c r="ADN65" s="37"/>
      <c r="ADO65" s="37"/>
      <c r="ADP65" s="37"/>
      <c r="ADQ65" s="37"/>
      <c r="ADR65" s="37"/>
      <c r="ADS65" s="37"/>
      <c r="ADT65" s="37"/>
      <c r="ADU65" s="37"/>
      <c r="ADV65" s="37"/>
      <c r="ADW65" s="37"/>
      <c r="ADX65" s="37"/>
      <c r="ADY65" s="37"/>
      <c r="ADZ65" s="37"/>
      <c r="AEA65" s="37"/>
      <c r="AEB65" s="37"/>
      <c r="AEC65" s="37"/>
      <c r="AED65" s="37"/>
      <c r="AEE65" s="37"/>
      <c r="AEF65" s="37"/>
      <c r="AEG65" s="37"/>
      <c r="AEH65" s="37"/>
      <c r="AEI65" s="37"/>
      <c r="AEJ65" s="37"/>
      <c r="AEK65" s="37"/>
      <c r="AEL65" s="37"/>
      <c r="AEM65" s="37"/>
      <c r="AEN65" s="37"/>
      <c r="AEO65" s="37"/>
      <c r="AEP65" s="37"/>
      <c r="AEQ65" s="37"/>
      <c r="AER65" s="37"/>
      <c r="AES65" s="37"/>
      <c r="AET65" s="37"/>
      <c r="AEU65" s="37"/>
      <c r="AEV65" s="37"/>
      <c r="AEW65" s="37"/>
      <c r="AEX65" s="37"/>
      <c r="AEY65" s="37"/>
      <c r="AEZ65" s="37"/>
      <c r="AFA65" s="37"/>
      <c r="AFB65" s="37"/>
      <c r="AFC65" s="37"/>
      <c r="AFD65" s="37"/>
      <c r="AFE65" s="37"/>
      <c r="AFF65" s="37"/>
      <c r="AFG65" s="37"/>
      <c r="AFH65" s="37"/>
      <c r="AFI65" s="37"/>
      <c r="AFJ65" s="37"/>
      <c r="AFK65" s="37"/>
      <c r="AFL65" s="37"/>
      <c r="AFM65" s="37"/>
      <c r="AFN65" s="37"/>
      <c r="AFO65" s="37"/>
      <c r="AFP65" s="37"/>
      <c r="AFQ65" s="37"/>
      <c r="AFR65" s="37"/>
      <c r="AFS65" s="37"/>
      <c r="AFT65" s="37"/>
      <c r="AFU65" s="37"/>
      <c r="AFV65" s="37"/>
      <c r="AFW65" s="37"/>
      <c r="AFX65" s="37"/>
      <c r="AFY65" s="37"/>
      <c r="AFZ65" s="37"/>
      <c r="AGA65" s="37"/>
      <c r="AGB65" s="37"/>
      <c r="AGC65" s="37"/>
      <c r="AGD65" s="37"/>
      <c r="AGE65" s="37"/>
      <c r="AGF65" s="37"/>
      <c r="AGG65" s="37"/>
      <c r="AGH65" s="37"/>
      <c r="AGI65" s="37"/>
      <c r="AGJ65" s="37"/>
      <c r="AGK65" s="37"/>
      <c r="AGL65" s="37"/>
      <c r="AGM65" s="37"/>
      <c r="AGN65" s="37"/>
      <c r="AGO65" s="37"/>
      <c r="AGP65" s="37"/>
      <c r="AGQ65" s="37"/>
      <c r="AGR65" s="37"/>
      <c r="AGS65" s="37"/>
      <c r="AGT65" s="37"/>
      <c r="AGU65" s="37"/>
      <c r="AGV65" s="37"/>
      <c r="AGW65" s="37"/>
      <c r="AGX65" s="37"/>
      <c r="AGY65" s="37"/>
      <c r="AGZ65" s="37"/>
      <c r="AHA65" s="37"/>
      <c r="AHB65" s="37"/>
      <c r="AHC65" s="37"/>
      <c r="AHD65" s="37"/>
      <c r="AHE65" s="37"/>
      <c r="AHF65" s="37"/>
      <c r="AHG65" s="37"/>
      <c r="AHH65" s="37"/>
      <c r="AHI65" s="37"/>
      <c r="AHJ65" s="37"/>
      <c r="AHK65" s="37"/>
      <c r="AHL65" s="37"/>
      <c r="AHM65" s="37"/>
      <c r="AHN65" s="37"/>
      <c r="AHO65" s="37"/>
      <c r="AHP65" s="37"/>
      <c r="AHQ65" s="37"/>
      <c r="AHR65" s="37"/>
      <c r="AHS65" s="37"/>
      <c r="AHT65" s="37"/>
      <c r="AHU65" s="37"/>
      <c r="AHV65" s="37"/>
      <c r="AHW65" s="37"/>
      <c r="AHX65" s="37"/>
      <c r="AHY65" s="37"/>
      <c r="AHZ65" s="37"/>
      <c r="AIA65" s="37"/>
      <c r="AIB65" s="37"/>
      <c r="AIC65" s="37"/>
      <c r="AID65" s="37"/>
      <c r="AIE65" s="37"/>
      <c r="AIF65" s="37"/>
      <c r="AIG65" s="37"/>
      <c r="AIH65" s="37"/>
      <c r="AII65" s="37"/>
      <c r="AIJ65" s="37"/>
      <c r="AIK65" s="37"/>
      <c r="AIL65" s="37"/>
      <c r="AIM65" s="37"/>
      <c r="AIN65" s="37"/>
      <c r="AIO65" s="37"/>
      <c r="AIP65" s="37"/>
      <c r="AIQ65" s="37"/>
      <c r="AIR65" s="37"/>
      <c r="AIS65" s="37"/>
      <c r="AIT65" s="37"/>
      <c r="AIU65" s="37"/>
      <c r="AIV65" s="37"/>
      <c r="AIW65" s="37"/>
      <c r="AIX65" s="37"/>
      <c r="AIY65" s="37"/>
      <c r="AIZ65" s="37"/>
      <c r="AJA65" s="37"/>
      <c r="AJB65" s="37"/>
      <c r="AJC65" s="37"/>
      <c r="AJD65" s="37"/>
      <c r="AJE65" s="37"/>
      <c r="AJF65" s="37"/>
      <c r="AJG65" s="37"/>
      <c r="AJH65" s="37"/>
      <c r="AJI65" s="37"/>
      <c r="AJJ65" s="37"/>
      <c r="AJK65" s="37"/>
      <c r="AJL65" s="37"/>
      <c r="AJM65" s="37"/>
      <c r="AJN65" s="37"/>
      <c r="AJO65" s="37"/>
      <c r="AJP65" s="37"/>
      <c r="AJQ65" s="37"/>
      <c r="AJR65" s="37"/>
      <c r="AJS65" s="37"/>
      <c r="AJT65" s="37"/>
      <c r="AJU65" s="37"/>
      <c r="AJV65" s="37"/>
      <c r="AJW65" s="37"/>
      <c r="AJX65" s="37"/>
      <c r="AJY65" s="37"/>
      <c r="AJZ65" s="37"/>
      <c r="AKA65" s="37"/>
      <c r="AKB65" s="37"/>
      <c r="AKC65" s="37"/>
      <c r="AKD65" s="37"/>
      <c r="AKE65" s="37"/>
      <c r="AKF65" s="37"/>
      <c r="AKG65" s="37"/>
      <c r="AKH65" s="37"/>
      <c r="AKI65" s="37"/>
      <c r="AKJ65" s="37"/>
      <c r="AKK65" s="37"/>
      <c r="AKL65" s="37"/>
      <c r="AKM65" s="37"/>
      <c r="AKN65" s="37"/>
      <c r="AKO65" s="37"/>
      <c r="AKP65" s="37"/>
      <c r="AKQ65" s="37"/>
      <c r="AKR65" s="37"/>
      <c r="AKS65" s="37"/>
      <c r="AKT65" s="37"/>
      <c r="AKU65" s="37"/>
      <c r="AKV65" s="37"/>
      <c r="AKW65" s="37"/>
      <c r="AKX65" s="37"/>
      <c r="AKY65" s="37"/>
      <c r="AKZ65" s="37"/>
      <c r="ALA65" s="37"/>
      <c r="ALB65" s="37"/>
      <c r="ALC65" s="37"/>
      <c r="ALD65" s="37"/>
      <c r="ALE65" s="37"/>
      <c r="ALF65" s="37"/>
      <c r="ALG65" s="37"/>
      <c r="ALH65" s="37"/>
      <c r="ALI65" s="37"/>
      <c r="ALJ65" s="37"/>
      <c r="ALK65" s="37"/>
      <c r="ALL65" s="37"/>
      <c r="ALM65" s="37"/>
      <c r="ALN65" s="37"/>
      <c r="ALO65" s="37"/>
      <c r="ALP65" s="37"/>
      <c r="ALQ65" s="37"/>
      <c r="ALR65" s="37"/>
      <c r="ALS65" s="37"/>
      <c r="ALT65" s="37"/>
      <c r="ALU65" s="37"/>
      <c r="ALV65" s="37"/>
      <c r="ALW65" s="37"/>
      <c r="ALX65" s="37"/>
      <c r="ALY65" s="37"/>
      <c r="ALZ65" s="37"/>
      <c r="AMA65" s="37"/>
      <c r="AMB65" s="37"/>
      <c r="AMC65" s="37"/>
      <c r="AMD65" s="37"/>
      <c r="AME65" s="37"/>
      <c r="AMF65" s="37"/>
      <c r="AMG65" s="37"/>
      <c r="AMH65" s="37"/>
      <c r="AMI65" s="37"/>
      <c r="AMJ65" s="37"/>
      <c r="AMK65" s="37"/>
      <c r="AML65" s="37"/>
      <c r="AMM65" s="37"/>
      <c r="AMN65" s="37"/>
      <c r="AMO65" s="37"/>
      <c r="AMP65" s="37"/>
      <c r="AMQ65" s="37"/>
      <c r="AMR65" s="37"/>
      <c r="AMS65" s="37"/>
      <c r="AMT65" s="37"/>
      <c r="AMU65" s="37"/>
      <c r="AMV65" s="37"/>
      <c r="AMW65" s="37"/>
      <c r="AMX65" s="37"/>
      <c r="AMY65" s="37"/>
      <c r="AMZ65" s="37"/>
      <c r="ANA65" s="37"/>
      <c r="ANB65" s="37"/>
      <c r="ANC65" s="37"/>
      <c r="AND65" s="37"/>
      <c r="ANE65" s="37"/>
      <c r="ANF65" s="37"/>
      <c r="ANG65" s="37"/>
      <c r="ANH65" s="37"/>
      <c r="ANI65" s="37"/>
      <c r="ANJ65" s="37"/>
      <c r="ANK65" s="37"/>
      <c r="ANL65" s="37"/>
      <c r="ANM65" s="37"/>
      <c r="ANN65" s="37"/>
      <c r="ANO65" s="37"/>
      <c r="ANP65" s="37"/>
      <c r="ANQ65" s="37"/>
      <c r="ANR65" s="37"/>
      <c r="ANS65" s="37"/>
      <c r="ANT65" s="37"/>
      <c r="ANU65" s="37"/>
      <c r="ANV65" s="37"/>
      <c r="ANW65" s="37"/>
      <c r="ANX65" s="37"/>
      <c r="ANY65" s="37"/>
      <c r="ANZ65" s="37"/>
      <c r="AOA65" s="37"/>
      <c r="AOB65" s="37"/>
      <c r="AOC65" s="37"/>
      <c r="AOD65" s="37"/>
      <c r="AOE65" s="37"/>
      <c r="AOF65" s="37"/>
      <c r="AOG65" s="37"/>
      <c r="AOH65" s="37"/>
      <c r="AOI65" s="37"/>
      <c r="AOJ65" s="37"/>
      <c r="AOK65" s="37"/>
      <c r="AOL65" s="37"/>
      <c r="AOM65" s="37"/>
      <c r="AON65" s="37"/>
      <c r="AOO65" s="37"/>
      <c r="AOP65" s="37"/>
      <c r="AOQ65" s="37"/>
      <c r="AOR65" s="37"/>
      <c r="AOS65" s="37"/>
      <c r="AOT65" s="37"/>
      <c r="AOU65" s="37"/>
      <c r="AOV65" s="37"/>
      <c r="AOW65" s="37"/>
      <c r="AOX65" s="37"/>
      <c r="AOY65" s="37"/>
      <c r="AOZ65" s="37"/>
      <c r="APA65" s="37"/>
      <c r="APB65" s="37"/>
      <c r="APC65" s="37"/>
      <c r="APD65" s="37"/>
      <c r="APE65" s="37"/>
      <c r="APF65" s="37"/>
      <c r="APG65" s="37"/>
      <c r="APH65" s="37"/>
      <c r="API65" s="37"/>
      <c r="APJ65" s="37"/>
      <c r="APK65" s="37"/>
      <c r="APL65" s="37"/>
      <c r="APM65" s="37"/>
      <c r="APN65" s="37"/>
      <c r="APO65" s="37"/>
      <c r="APP65" s="37"/>
      <c r="APQ65" s="37"/>
      <c r="APR65" s="37"/>
      <c r="APS65" s="37"/>
      <c r="APT65" s="37"/>
      <c r="APU65" s="37"/>
      <c r="APV65" s="37"/>
      <c r="APW65" s="37"/>
      <c r="APX65" s="37"/>
      <c r="APY65" s="37"/>
      <c r="APZ65" s="37"/>
      <c r="AQA65" s="37"/>
      <c r="AQB65" s="37"/>
      <c r="AQC65" s="37"/>
      <c r="AQD65" s="37"/>
      <c r="AQE65" s="37"/>
      <c r="AQF65" s="37"/>
      <c r="AQG65" s="37"/>
      <c r="AQH65" s="37"/>
      <c r="AQI65" s="37"/>
      <c r="AQJ65" s="37"/>
      <c r="AQK65" s="37"/>
      <c r="AQL65" s="37"/>
      <c r="AQM65" s="37"/>
      <c r="AQN65" s="37"/>
      <c r="AQO65" s="37"/>
      <c r="AQP65" s="37"/>
      <c r="AQQ65" s="37"/>
      <c r="AQR65" s="37"/>
      <c r="AQS65" s="37"/>
      <c r="AQT65" s="37"/>
      <c r="AQU65" s="37"/>
      <c r="AQV65" s="37"/>
      <c r="AQW65" s="37"/>
      <c r="AQX65" s="37"/>
      <c r="AQY65" s="37"/>
      <c r="AQZ65" s="37"/>
      <c r="ARA65" s="37"/>
      <c r="ARB65" s="37"/>
      <c r="ARC65" s="37"/>
      <c r="ARD65" s="37"/>
      <c r="ARE65" s="37"/>
      <c r="ARF65" s="37"/>
      <c r="ARG65" s="37"/>
      <c r="ARH65" s="37"/>
      <c r="ARI65" s="37"/>
      <c r="ARJ65" s="37"/>
      <c r="ARK65" s="37"/>
      <c r="ARL65" s="37"/>
      <c r="ARM65" s="37"/>
      <c r="ARN65" s="37"/>
      <c r="ARO65" s="37"/>
      <c r="ARP65" s="37"/>
      <c r="ARQ65" s="37"/>
      <c r="ARR65" s="37"/>
      <c r="ARS65" s="37"/>
      <c r="ART65" s="37"/>
      <c r="ARU65" s="37"/>
      <c r="ARV65" s="37"/>
      <c r="ARW65" s="37"/>
      <c r="ARX65" s="37"/>
      <c r="ARY65" s="37"/>
      <c r="ARZ65" s="37"/>
      <c r="ASA65" s="37"/>
      <c r="ASB65" s="37"/>
      <c r="ASC65" s="37"/>
      <c r="ASD65" s="37"/>
      <c r="ASE65" s="37"/>
      <c r="ASF65" s="37"/>
      <c r="ASG65" s="37"/>
      <c r="ASH65" s="37"/>
      <c r="ASI65" s="37"/>
      <c r="ASJ65" s="37"/>
      <c r="ASK65" s="37"/>
      <c r="ASL65" s="37"/>
      <c r="ASM65" s="37"/>
      <c r="ASN65" s="37"/>
      <c r="ASO65" s="37"/>
      <c r="ASP65" s="37"/>
      <c r="ASQ65" s="37"/>
      <c r="ASR65" s="37"/>
      <c r="ASS65" s="37"/>
      <c r="AST65" s="37"/>
      <c r="ASU65" s="37"/>
      <c r="ASV65" s="37"/>
      <c r="ASW65" s="37"/>
      <c r="ASX65" s="37"/>
      <c r="ASY65" s="37"/>
      <c r="ASZ65" s="37"/>
      <c r="ATA65" s="37"/>
      <c r="ATB65" s="37"/>
      <c r="ATC65" s="37"/>
      <c r="ATD65" s="37"/>
      <c r="ATE65" s="37"/>
      <c r="ATF65" s="37"/>
      <c r="ATG65" s="37"/>
      <c r="ATH65" s="37"/>
      <c r="ATI65" s="37"/>
      <c r="ATJ65" s="37"/>
      <c r="ATK65" s="37"/>
      <c r="ATL65" s="37"/>
      <c r="ATM65" s="37"/>
      <c r="ATN65" s="37"/>
      <c r="ATO65" s="37"/>
      <c r="ATP65" s="37"/>
      <c r="ATQ65" s="37"/>
      <c r="ATR65" s="37"/>
      <c r="ATS65" s="37"/>
      <c r="ATT65" s="37"/>
      <c r="ATU65" s="37"/>
      <c r="ATV65" s="37"/>
      <c r="ATW65" s="37"/>
      <c r="ATX65" s="37"/>
      <c r="ATY65" s="37"/>
      <c r="ATZ65" s="37"/>
      <c r="AUA65" s="37"/>
      <c r="AUB65" s="37"/>
      <c r="AUC65" s="37"/>
      <c r="AUD65" s="37"/>
      <c r="AUE65" s="37"/>
      <c r="AUF65" s="37"/>
      <c r="AUG65" s="37"/>
      <c r="AUH65" s="37"/>
      <c r="AUI65" s="37"/>
      <c r="AUJ65" s="37"/>
      <c r="AUK65" s="37"/>
      <c r="AUL65" s="37"/>
      <c r="AUM65" s="37"/>
      <c r="AUN65" s="37"/>
      <c r="AUO65" s="37"/>
      <c r="AUP65" s="37"/>
      <c r="AUQ65" s="37"/>
      <c r="AUR65" s="37"/>
      <c r="AUS65" s="37"/>
      <c r="AUT65" s="37"/>
      <c r="AUU65" s="37"/>
      <c r="AUV65" s="37"/>
      <c r="AUW65" s="37"/>
      <c r="AUX65" s="37"/>
      <c r="AUY65" s="37"/>
      <c r="AUZ65" s="37"/>
      <c r="AVA65" s="37"/>
      <c r="AVB65" s="37"/>
      <c r="AVC65" s="37"/>
      <c r="AVD65" s="37"/>
      <c r="AVE65" s="37"/>
      <c r="AVF65" s="37"/>
      <c r="AVG65" s="37"/>
      <c r="AVH65" s="37"/>
      <c r="AVI65" s="37"/>
      <c r="AVJ65" s="37"/>
      <c r="AVK65" s="37"/>
      <c r="AVL65" s="37"/>
      <c r="AVM65" s="37"/>
      <c r="AVN65" s="37"/>
      <c r="AVO65" s="37"/>
      <c r="AVP65" s="37"/>
      <c r="AVQ65" s="37"/>
      <c r="AVR65" s="37"/>
      <c r="AVS65" s="37"/>
      <c r="AVT65" s="37"/>
      <c r="AVU65" s="37"/>
      <c r="AVV65" s="37"/>
      <c r="AVW65" s="37"/>
      <c r="AVX65" s="37"/>
      <c r="AVY65" s="37"/>
      <c r="AVZ65" s="37"/>
      <c r="AWA65" s="37"/>
      <c r="AWB65" s="37"/>
      <c r="AWC65" s="37"/>
      <c r="AWD65" s="37"/>
      <c r="AWE65" s="37"/>
      <c r="AWF65" s="37"/>
      <c r="AWG65" s="37"/>
      <c r="AWH65" s="37"/>
      <c r="AWI65" s="37"/>
      <c r="AWJ65" s="37"/>
      <c r="AWK65" s="37"/>
      <c r="AWL65" s="37"/>
      <c r="AWM65" s="37"/>
      <c r="AWN65" s="37"/>
      <c r="AWO65" s="37"/>
      <c r="AWP65" s="37"/>
      <c r="AWQ65" s="37"/>
      <c r="AWR65" s="37"/>
      <c r="AWS65" s="37"/>
      <c r="AWT65" s="37"/>
      <c r="AWU65" s="37"/>
      <c r="AWV65" s="37"/>
      <c r="AWW65" s="37"/>
      <c r="AWX65" s="37"/>
      <c r="AWY65" s="37"/>
      <c r="AWZ65" s="37"/>
      <c r="AXA65" s="37"/>
      <c r="AXB65" s="37"/>
      <c r="AXC65" s="37"/>
      <c r="AXD65" s="37"/>
      <c r="AXE65" s="37"/>
      <c r="AXF65" s="37"/>
      <c r="AXG65" s="37"/>
      <c r="AXH65" s="37"/>
      <c r="AXI65" s="37"/>
      <c r="AXJ65" s="37"/>
      <c r="AXK65" s="37"/>
      <c r="AXL65" s="37"/>
      <c r="AXM65" s="37"/>
      <c r="AXN65" s="37"/>
      <c r="AXO65" s="37"/>
      <c r="AXP65" s="37"/>
      <c r="AXQ65" s="37"/>
      <c r="AXR65" s="37"/>
      <c r="AXS65" s="37"/>
      <c r="AXT65" s="37"/>
      <c r="AXU65" s="37"/>
      <c r="AXV65" s="37"/>
      <c r="AXW65" s="37"/>
      <c r="AXX65" s="37"/>
      <c r="AXY65" s="37"/>
      <c r="AXZ65" s="37"/>
      <c r="AYA65" s="37"/>
      <c r="AYB65" s="37"/>
      <c r="AYC65" s="37"/>
      <c r="AYD65" s="37"/>
      <c r="AYE65" s="37"/>
      <c r="AYF65" s="37"/>
      <c r="AYG65" s="37"/>
      <c r="AYH65" s="37"/>
      <c r="AYI65" s="37"/>
      <c r="AYJ65" s="37"/>
      <c r="AYK65" s="37"/>
      <c r="AYL65" s="37"/>
      <c r="AYM65" s="37"/>
      <c r="AYN65" s="37"/>
      <c r="AYO65" s="37"/>
      <c r="AYP65" s="37"/>
      <c r="AYQ65" s="37"/>
      <c r="AYR65" s="37"/>
      <c r="AYS65" s="37"/>
      <c r="AYT65" s="37"/>
      <c r="AYU65" s="37"/>
      <c r="AYV65" s="37"/>
      <c r="AYW65" s="37"/>
      <c r="AYX65" s="37"/>
      <c r="AYY65" s="37"/>
      <c r="AYZ65" s="37"/>
      <c r="AZA65" s="37"/>
      <c r="AZB65" s="37"/>
      <c r="AZC65" s="37"/>
      <c r="AZD65" s="37"/>
      <c r="AZE65" s="37"/>
      <c r="AZF65" s="37"/>
      <c r="AZG65" s="37"/>
      <c r="AZH65" s="37"/>
      <c r="AZI65" s="37"/>
      <c r="AZJ65" s="37"/>
      <c r="AZK65" s="37"/>
      <c r="AZL65" s="37"/>
      <c r="AZM65" s="37"/>
      <c r="AZN65" s="37"/>
      <c r="AZO65" s="37"/>
      <c r="AZP65" s="37"/>
      <c r="AZQ65" s="37"/>
      <c r="AZR65" s="37"/>
      <c r="AZS65" s="37"/>
      <c r="AZT65" s="37"/>
      <c r="AZU65" s="37"/>
      <c r="AZV65" s="37"/>
      <c r="AZW65" s="37"/>
      <c r="AZX65" s="37"/>
      <c r="AZY65" s="37"/>
      <c r="AZZ65" s="37"/>
      <c r="BAA65" s="37"/>
      <c r="BAB65" s="37"/>
      <c r="BAC65" s="37"/>
      <c r="BAD65" s="37"/>
      <c r="BAE65" s="37"/>
      <c r="BAF65" s="37"/>
      <c r="BAG65" s="37"/>
      <c r="BAH65" s="37"/>
      <c r="BAI65" s="37"/>
      <c r="BAJ65" s="37"/>
      <c r="BAK65" s="37"/>
      <c r="BAL65" s="37"/>
      <c r="BAM65" s="37"/>
      <c r="BAN65" s="37"/>
      <c r="BAO65" s="37"/>
      <c r="BAP65" s="37"/>
      <c r="BAQ65" s="37"/>
      <c r="BAR65" s="37"/>
      <c r="BAS65" s="37"/>
      <c r="BAT65" s="37"/>
      <c r="BAU65" s="37"/>
      <c r="BAV65" s="37"/>
      <c r="BAW65" s="37"/>
      <c r="BAX65" s="37"/>
      <c r="BAY65" s="37"/>
      <c r="BAZ65" s="37"/>
      <c r="BBA65" s="37"/>
      <c r="BBB65" s="37"/>
      <c r="BBC65" s="37"/>
      <c r="BBD65" s="37"/>
      <c r="BBE65" s="37"/>
      <c r="BBF65" s="37"/>
      <c r="BBG65" s="37"/>
      <c r="BBH65" s="37"/>
      <c r="BBI65" s="37"/>
      <c r="BBJ65" s="37"/>
      <c r="BBK65" s="37"/>
      <c r="BBL65" s="37"/>
      <c r="BBM65" s="37"/>
      <c r="BBN65" s="37"/>
      <c r="BBO65" s="37"/>
      <c r="BBP65" s="37"/>
      <c r="BBQ65" s="37"/>
      <c r="BBR65" s="37"/>
      <c r="BBS65" s="37"/>
      <c r="BBT65" s="37"/>
      <c r="BBU65" s="37"/>
      <c r="BBV65" s="37"/>
      <c r="BBW65" s="37"/>
      <c r="BBX65" s="37"/>
      <c r="BBY65" s="37"/>
      <c r="BBZ65" s="37"/>
      <c r="BCA65" s="37"/>
      <c r="BCB65" s="37"/>
      <c r="BCC65" s="37"/>
      <c r="BCD65" s="37"/>
      <c r="BCE65" s="37"/>
      <c r="BCF65" s="37"/>
      <c r="BCG65" s="37"/>
      <c r="BCH65" s="37"/>
      <c r="BCI65" s="37"/>
      <c r="BCJ65" s="37"/>
      <c r="BCK65" s="37"/>
      <c r="BCL65" s="37"/>
      <c r="BCM65" s="37"/>
      <c r="BCN65" s="37"/>
      <c r="BCO65" s="37"/>
      <c r="BCP65" s="37"/>
      <c r="BCQ65" s="37"/>
      <c r="BCR65" s="37"/>
      <c r="BCS65" s="37"/>
      <c r="BCT65" s="37"/>
      <c r="BCU65" s="37"/>
      <c r="BCV65" s="37"/>
      <c r="BCW65" s="37"/>
      <c r="BCX65" s="37"/>
      <c r="BCY65" s="37"/>
      <c r="BCZ65" s="37"/>
      <c r="BDA65" s="37"/>
      <c r="BDB65" s="37"/>
      <c r="BDC65" s="37"/>
      <c r="BDD65" s="37"/>
      <c r="BDE65" s="37"/>
      <c r="BDF65" s="37"/>
      <c r="BDG65" s="37"/>
      <c r="BDH65" s="37"/>
      <c r="BDI65" s="37"/>
      <c r="BDJ65" s="37"/>
      <c r="BDK65" s="37"/>
      <c r="BDL65" s="37"/>
      <c r="BDM65" s="37"/>
      <c r="BDN65" s="37"/>
      <c r="BDO65" s="37"/>
      <c r="BDP65" s="37"/>
      <c r="BDQ65" s="37"/>
      <c r="BDR65" s="37"/>
      <c r="BDS65" s="37"/>
      <c r="BDT65" s="37"/>
      <c r="BDU65" s="37"/>
      <c r="BDV65" s="37"/>
      <c r="BDW65" s="37"/>
      <c r="BDX65" s="37"/>
      <c r="BDY65" s="37"/>
      <c r="BDZ65" s="37"/>
      <c r="BEA65" s="37"/>
      <c r="BEB65" s="37"/>
      <c r="BEC65" s="37"/>
      <c r="BED65" s="37"/>
      <c r="BEE65" s="37"/>
      <c r="BEF65" s="37"/>
      <c r="BEG65" s="37"/>
      <c r="BEH65" s="37"/>
      <c r="BEI65" s="37"/>
      <c r="BEJ65" s="37"/>
      <c r="BEK65" s="37"/>
      <c r="BEL65" s="37"/>
      <c r="BEM65" s="37"/>
      <c r="BEN65" s="37"/>
      <c r="BEO65" s="37"/>
      <c r="BEP65" s="37"/>
      <c r="BEQ65" s="37"/>
      <c r="BER65" s="37"/>
      <c r="BES65" s="37"/>
      <c r="BET65" s="37"/>
      <c r="BEU65" s="37"/>
      <c r="BEV65" s="37"/>
      <c r="BEW65" s="37"/>
      <c r="BEX65" s="37"/>
      <c r="BEY65" s="37"/>
      <c r="BEZ65" s="37"/>
      <c r="BFA65" s="37"/>
      <c r="BFB65" s="37"/>
      <c r="BFC65" s="37"/>
      <c r="BFD65" s="37"/>
      <c r="BFE65" s="37"/>
      <c r="BFF65" s="37"/>
      <c r="BFG65" s="37"/>
      <c r="BFH65" s="37"/>
      <c r="BFI65" s="37"/>
      <c r="BFJ65" s="37"/>
      <c r="BFK65" s="37"/>
      <c r="BFL65" s="37"/>
      <c r="BFM65" s="37"/>
      <c r="BFN65" s="37"/>
      <c r="BFO65" s="37"/>
      <c r="BFP65" s="37"/>
      <c r="BFQ65" s="37"/>
      <c r="BFR65" s="37"/>
      <c r="BFS65" s="37"/>
      <c r="BFT65" s="37"/>
      <c r="BFU65" s="37"/>
      <c r="BFV65" s="37"/>
      <c r="BFW65" s="37"/>
      <c r="BFX65" s="37"/>
      <c r="BFY65" s="37"/>
      <c r="BFZ65" s="37"/>
      <c r="BGA65" s="37"/>
      <c r="BGB65" s="37"/>
      <c r="BGC65" s="37"/>
      <c r="BGD65" s="37"/>
      <c r="BGE65" s="37"/>
      <c r="BGF65" s="37"/>
      <c r="BGG65" s="37"/>
      <c r="BGH65" s="37"/>
      <c r="BGI65" s="37"/>
      <c r="BGJ65" s="37"/>
      <c r="BGK65" s="37"/>
      <c r="BGL65" s="37"/>
      <c r="BGM65" s="37"/>
      <c r="BGN65" s="37"/>
      <c r="BGO65" s="37"/>
      <c r="BGP65" s="37"/>
      <c r="BGQ65" s="37"/>
      <c r="BGR65" s="37"/>
      <c r="BGS65" s="37"/>
      <c r="BGT65" s="37"/>
      <c r="BGU65" s="37"/>
      <c r="BGV65" s="37"/>
      <c r="BGW65" s="37"/>
      <c r="BGX65" s="37"/>
      <c r="BGY65" s="37"/>
      <c r="BGZ65" s="37"/>
      <c r="BHA65" s="37"/>
      <c r="BHB65" s="37"/>
      <c r="BHC65" s="37"/>
      <c r="BHD65" s="37"/>
      <c r="BHE65" s="37"/>
      <c r="BHF65" s="37"/>
      <c r="BHG65" s="37"/>
      <c r="BHH65" s="37"/>
      <c r="BHI65" s="37"/>
      <c r="BHJ65" s="37"/>
      <c r="BHK65" s="37"/>
      <c r="BHL65" s="37"/>
      <c r="BHM65" s="37"/>
      <c r="BHN65" s="37"/>
      <c r="BHO65" s="37"/>
      <c r="BHP65" s="37"/>
      <c r="BHQ65" s="37"/>
      <c r="BHR65" s="37"/>
      <c r="BHS65" s="37"/>
      <c r="BHT65" s="37"/>
      <c r="BHU65" s="37"/>
      <c r="BHV65" s="37"/>
      <c r="BHW65" s="37"/>
      <c r="BHX65" s="37"/>
      <c r="BHY65" s="37"/>
      <c r="BHZ65" s="37"/>
      <c r="BIA65" s="37"/>
      <c r="BIB65" s="37"/>
      <c r="BIC65" s="37"/>
      <c r="BID65" s="37"/>
      <c r="BIE65" s="37"/>
      <c r="BIF65" s="37"/>
      <c r="BIG65" s="37"/>
      <c r="BIH65" s="37"/>
      <c r="BII65" s="37"/>
      <c r="BIJ65" s="37"/>
      <c r="BIK65" s="37"/>
      <c r="BIL65" s="37"/>
      <c r="BIM65" s="37"/>
      <c r="BIN65" s="37"/>
      <c r="BIO65" s="37"/>
      <c r="BIP65" s="37"/>
      <c r="BIQ65" s="37"/>
      <c r="BIR65" s="37"/>
      <c r="BIS65" s="37"/>
      <c r="BIT65" s="37"/>
      <c r="BIU65" s="37"/>
      <c r="BIV65" s="37"/>
      <c r="BIW65" s="37"/>
      <c r="BIX65" s="37"/>
      <c r="BIY65" s="37"/>
      <c r="BIZ65" s="37"/>
      <c r="BJA65" s="37"/>
      <c r="BJB65" s="37"/>
      <c r="BJC65" s="37"/>
      <c r="BJD65" s="37"/>
      <c r="BJE65" s="37"/>
      <c r="BJF65" s="37"/>
      <c r="BJG65" s="37"/>
      <c r="BJH65" s="37"/>
      <c r="BJI65" s="37"/>
      <c r="BJJ65" s="37"/>
      <c r="BJK65" s="37"/>
      <c r="BJL65" s="37"/>
      <c r="BJM65" s="37"/>
      <c r="BJN65" s="37"/>
      <c r="BJO65" s="37"/>
      <c r="BJP65" s="37"/>
      <c r="BJQ65" s="37"/>
      <c r="BJR65" s="37"/>
      <c r="BJS65" s="37"/>
      <c r="BJT65" s="37"/>
      <c r="BJU65" s="37"/>
      <c r="BJV65" s="37"/>
      <c r="BJW65" s="37"/>
      <c r="BJX65" s="37"/>
      <c r="BJY65" s="37"/>
      <c r="BJZ65" s="37"/>
      <c r="BKA65" s="37"/>
      <c r="BKB65" s="37"/>
      <c r="BKC65" s="37"/>
      <c r="BKD65" s="37"/>
      <c r="BKE65" s="37"/>
      <c r="BKF65" s="37"/>
      <c r="BKG65" s="37"/>
      <c r="BKH65" s="37"/>
      <c r="BKI65" s="37"/>
      <c r="BKJ65" s="37"/>
      <c r="BKK65" s="37"/>
      <c r="BKL65" s="37"/>
      <c r="BKM65" s="37"/>
      <c r="BKN65" s="37"/>
      <c r="BKO65" s="37"/>
      <c r="BKP65" s="37"/>
      <c r="BKQ65" s="37"/>
      <c r="BKR65" s="37"/>
      <c r="BKS65" s="37"/>
      <c r="BKT65" s="37"/>
      <c r="BKU65" s="37"/>
      <c r="BKV65" s="37"/>
      <c r="BKW65" s="37"/>
      <c r="BKX65" s="37"/>
      <c r="BKY65" s="37"/>
      <c r="BKZ65" s="37"/>
      <c r="BLA65" s="37"/>
      <c r="BLB65" s="37"/>
      <c r="BLC65" s="37"/>
      <c r="BLD65" s="37"/>
      <c r="BLE65" s="37"/>
      <c r="BLF65" s="37"/>
      <c r="BLG65" s="37"/>
      <c r="BLH65" s="37"/>
      <c r="BLI65" s="37"/>
      <c r="BLJ65" s="37"/>
      <c r="BLK65" s="37"/>
      <c r="BLL65" s="37"/>
      <c r="BLM65" s="37"/>
      <c r="BLN65" s="37"/>
      <c r="BLO65" s="37"/>
      <c r="BLP65" s="37"/>
      <c r="BLQ65" s="37"/>
      <c r="BLR65" s="37"/>
      <c r="BLS65" s="37"/>
      <c r="BLT65" s="37"/>
      <c r="BLU65" s="37"/>
      <c r="BLV65" s="37"/>
      <c r="BLW65" s="37"/>
      <c r="BLX65" s="37"/>
      <c r="BLY65" s="37"/>
      <c r="BLZ65" s="37"/>
      <c r="BMA65" s="37"/>
      <c r="BMB65" s="37"/>
      <c r="BMC65" s="37"/>
      <c r="BMD65" s="37"/>
      <c r="BME65" s="37"/>
      <c r="BMF65" s="37"/>
      <c r="BMG65" s="37"/>
      <c r="BMH65" s="37"/>
      <c r="BMI65" s="37"/>
      <c r="BMJ65" s="37"/>
      <c r="BMK65" s="37"/>
      <c r="BML65" s="37"/>
      <c r="BMM65" s="37"/>
      <c r="BMN65" s="37"/>
      <c r="BMO65" s="37"/>
      <c r="BMP65" s="37"/>
      <c r="BMQ65" s="37"/>
      <c r="BMR65" s="37"/>
      <c r="BMS65" s="37"/>
      <c r="BMT65" s="37"/>
      <c r="BMU65" s="37"/>
      <c r="BMV65" s="37"/>
      <c r="BMW65" s="37"/>
      <c r="BMX65" s="37"/>
      <c r="BMY65" s="37"/>
      <c r="BMZ65" s="37"/>
      <c r="BNA65" s="37"/>
      <c r="BNB65" s="37"/>
      <c r="BNC65" s="37"/>
      <c r="BND65" s="37"/>
      <c r="BNE65" s="37"/>
      <c r="BNF65" s="37"/>
      <c r="BNG65" s="37"/>
      <c r="BNH65" s="37"/>
      <c r="BNI65" s="37"/>
      <c r="BNJ65" s="37"/>
      <c r="BNK65" s="37"/>
      <c r="BNL65" s="37"/>
      <c r="BNM65" s="37"/>
      <c r="BNN65" s="37"/>
      <c r="BNO65" s="37"/>
      <c r="BNP65" s="37"/>
      <c r="BNQ65" s="37"/>
      <c r="BNR65" s="37"/>
      <c r="BNS65" s="37"/>
      <c r="BNT65" s="37"/>
      <c r="BNU65" s="37"/>
      <c r="BNV65" s="37"/>
      <c r="BNW65" s="37"/>
      <c r="BNX65" s="37"/>
      <c r="BNY65" s="37"/>
      <c r="BNZ65" s="37"/>
      <c r="BOA65" s="37"/>
      <c r="BOB65" s="37"/>
      <c r="BOC65" s="37"/>
      <c r="BOD65" s="37"/>
      <c r="BOE65" s="37"/>
      <c r="BOF65" s="37"/>
      <c r="BOG65" s="37"/>
      <c r="BOH65" s="37"/>
      <c r="BOI65" s="37"/>
      <c r="BOJ65" s="37"/>
      <c r="BOK65" s="37"/>
      <c r="BOL65" s="37"/>
      <c r="BOM65" s="37"/>
      <c r="BON65" s="37"/>
      <c r="BOO65" s="37"/>
      <c r="BOP65" s="37"/>
      <c r="BOQ65" s="37"/>
      <c r="BOR65" s="37"/>
      <c r="BOS65" s="37"/>
      <c r="BOT65" s="37"/>
      <c r="BOU65" s="37"/>
      <c r="BOV65" s="37"/>
      <c r="BOW65" s="37"/>
      <c r="BOX65" s="37"/>
      <c r="BOY65" s="37"/>
      <c r="BOZ65" s="37"/>
      <c r="BPA65" s="37"/>
      <c r="BPB65" s="37"/>
      <c r="BPC65" s="37"/>
      <c r="BPD65" s="37"/>
      <c r="BPE65" s="37"/>
      <c r="BPF65" s="37"/>
      <c r="BPG65" s="37"/>
      <c r="BPH65" s="37"/>
      <c r="BPI65" s="37"/>
      <c r="BPJ65" s="37"/>
      <c r="BPK65" s="37"/>
      <c r="BPL65" s="37"/>
      <c r="BPM65" s="37"/>
      <c r="BPN65" s="37"/>
      <c r="BPO65" s="37"/>
      <c r="BPP65" s="37"/>
      <c r="BPQ65" s="37"/>
      <c r="BPR65" s="37"/>
      <c r="BPS65" s="37"/>
      <c r="BPT65" s="37"/>
      <c r="BPU65" s="37"/>
      <c r="BPV65" s="37"/>
      <c r="BPW65" s="37"/>
      <c r="BPX65" s="37"/>
      <c r="BPY65" s="37"/>
      <c r="BPZ65" s="37"/>
      <c r="BQA65" s="37"/>
      <c r="BQB65" s="37"/>
      <c r="BQC65" s="37"/>
      <c r="BQD65" s="37"/>
      <c r="BQE65" s="37"/>
      <c r="BQF65" s="37"/>
      <c r="BQG65" s="37"/>
      <c r="BQH65" s="37"/>
      <c r="BQI65" s="37"/>
      <c r="BQJ65" s="37"/>
      <c r="BQK65" s="37"/>
      <c r="BQL65" s="37"/>
      <c r="BQM65" s="37"/>
      <c r="BQN65" s="37"/>
      <c r="BQO65" s="37"/>
      <c r="BQP65" s="37"/>
      <c r="BQQ65" s="37"/>
      <c r="BQR65" s="37"/>
      <c r="BQS65" s="37"/>
      <c r="BQT65" s="37"/>
      <c r="BQU65" s="37"/>
      <c r="BQV65" s="37"/>
      <c r="BQW65" s="37"/>
      <c r="BQX65" s="37"/>
      <c r="BQY65" s="37"/>
      <c r="BQZ65" s="37"/>
      <c r="BRA65" s="37"/>
      <c r="BRB65" s="37"/>
      <c r="BRC65" s="37"/>
      <c r="BRD65" s="37"/>
      <c r="BRE65" s="37"/>
      <c r="BRF65" s="37"/>
      <c r="BRG65" s="37"/>
      <c r="BRH65" s="37"/>
      <c r="BRI65" s="37"/>
      <c r="BRJ65" s="37"/>
      <c r="BRK65" s="37"/>
      <c r="BRL65" s="37"/>
      <c r="BRM65" s="37"/>
      <c r="BRN65" s="37"/>
      <c r="BRO65" s="37"/>
      <c r="BRP65" s="37"/>
      <c r="BRQ65" s="37"/>
      <c r="BRR65" s="37"/>
      <c r="BRS65" s="37"/>
      <c r="BRT65" s="37"/>
      <c r="BRU65" s="37"/>
      <c r="BRV65" s="37"/>
      <c r="BRW65" s="37"/>
      <c r="BRX65" s="37"/>
      <c r="BRY65" s="37"/>
      <c r="BRZ65" s="37"/>
      <c r="BSA65" s="37"/>
      <c r="BSB65" s="37"/>
      <c r="BSC65" s="37"/>
      <c r="BSD65" s="37"/>
      <c r="BSE65" s="37"/>
      <c r="BSF65" s="37"/>
      <c r="BSG65" s="37"/>
      <c r="BSH65" s="37"/>
      <c r="BSI65" s="37"/>
      <c r="BSJ65" s="37"/>
      <c r="BSK65" s="37"/>
      <c r="BSL65" s="37"/>
      <c r="BSM65" s="37"/>
      <c r="BSN65" s="37"/>
      <c r="BSO65" s="37"/>
      <c r="BSP65" s="37"/>
      <c r="BSQ65" s="37"/>
      <c r="BSR65" s="37"/>
      <c r="BSS65" s="37"/>
      <c r="BST65" s="37"/>
      <c r="BSU65" s="37"/>
      <c r="BSV65" s="37"/>
      <c r="BSW65" s="37"/>
      <c r="BSX65" s="37"/>
      <c r="BSY65" s="37"/>
      <c r="BSZ65" s="37"/>
      <c r="BTA65" s="37"/>
      <c r="BTB65" s="37"/>
      <c r="BTC65" s="37"/>
      <c r="BTD65" s="37"/>
      <c r="BTE65" s="37"/>
      <c r="BTF65" s="37"/>
      <c r="BTG65" s="37"/>
      <c r="BTH65" s="37"/>
      <c r="BTI65" s="37"/>
      <c r="BTJ65" s="37"/>
      <c r="BTK65" s="37"/>
      <c r="BTL65" s="37"/>
      <c r="BTM65" s="37"/>
      <c r="BTN65" s="37"/>
      <c r="BTO65" s="37"/>
      <c r="BTP65" s="37"/>
      <c r="BTQ65" s="37"/>
      <c r="BTR65" s="37"/>
      <c r="BTS65" s="37"/>
      <c r="BTT65" s="37"/>
      <c r="BTU65" s="37"/>
      <c r="BTV65" s="37"/>
      <c r="BTW65" s="37"/>
      <c r="BTX65" s="37"/>
      <c r="BTY65" s="37"/>
      <c r="BTZ65" s="37"/>
      <c r="BUA65" s="37"/>
      <c r="BUB65" s="37"/>
      <c r="BUC65" s="37"/>
      <c r="BUD65" s="37"/>
      <c r="BUE65" s="37"/>
      <c r="BUF65" s="37"/>
      <c r="BUG65" s="37"/>
      <c r="BUH65" s="37"/>
      <c r="BUI65" s="37"/>
      <c r="BUJ65" s="37"/>
      <c r="BUK65" s="37"/>
      <c r="BUL65" s="37"/>
      <c r="BUM65" s="37"/>
      <c r="BUN65" s="37"/>
      <c r="BUO65" s="37"/>
      <c r="BUP65" s="37"/>
      <c r="BUQ65" s="37"/>
      <c r="BUR65" s="37"/>
      <c r="BUS65" s="37"/>
      <c r="BUT65" s="37"/>
      <c r="BUU65" s="37"/>
      <c r="BUV65" s="37"/>
      <c r="BUW65" s="37"/>
      <c r="BUX65" s="37"/>
      <c r="BUY65" s="37"/>
      <c r="BUZ65" s="37"/>
      <c r="BVA65" s="37"/>
      <c r="BVB65" s="37"/>
      <c r="BVC65" s="37"/>
      <c r="BVD65" s="37"/>
      <c r="BVE65" s="37"/>
      <c r="BVF65" s="37"/>
      <c r="BVG65" s="37"/>
      <c r="BVH65" s="37"/>
      <c r="BVI65" s="37"/>
      <c r="BVJ65" s="37"/>
      <c r="BVK65" s="37"/>
      <c r="BVL65" s="37"/>
      <c r="BVM65" s="37"/>
      <c r="BVN65" s="37"/>
      <c r="BVO65" s="37"/>
      <c r="BVP65" s="37"/>
      <c r="BVQ65" s="37"/>
      <c r="BVR65" s="37"/>
      <c r="BVS65" s="37"/>
      <c r="BVT65" s="37"/>
      <c r="BVU65" s="37"/>
      <c r="BVV65" s="37"/>
      <c r="BVW65" s="37"/>
      <c r="BVX65" s="37"/>
      <c r="BVY65" s="37"/>
      <c r="BVZ65" s="37"/>
      <c r="BWA65" s="37"/>
      <c r="BWB65" s="37"/>
      <c r="BWC65" s="37"/>
      <c r="BWD65" s="37"/>
      <c r="BWE65" s="37"/>
      <c r="BWF65" s="37"/>
      <c r="BWG65" s="37"/>
      <c r="BWH65" s="37"/>
      <c r="BWI65" s="37"/>
      <c r="BWJ65" s="37"/>
      <c r="BWK65" s="37"/>
      <c r="BWL65" s="37"/>
      <c r="BWM65" s="37"/>
      <c r="BWN65" s="37"/>
      <c r="BWO65" s="37"/>
      <c r="BWP65" s="37"/>
      <c r="BWQ65" s="37"/>
      <c r="BWR65" s="37"/>
      <c r="BWS65" s="37"/>
      <c r="BWT65" s="37"/>
      <c r="BWU65" s="37"/>
      <c r="BWV65" s="37"/>
      <c r="BWW65" s="37"/>
      <c r="BWX65" s="37"/>
      <c r="BWY65" s="37"/>
      <c r="BWZ65" s="37"/>
      <c r="BXA65" s="37"/>
      <c r="BXB65" s="37"/>
      <c r="BXC65" s="37"/>
      <c r="BXD65" s="37"/>
      <c r="BXE65" s="37"/>
      <c r="BXF65" s="37"/>
      <c r="BXG65" s="37"/>
      <c r="BXH65" s="37"/>
      <c r="BXI65" s="37"/>
      <c r="BXJ65" s="37"/>
      <c r="BXK65" s="37"/>
      <c r="BXL65" s="37"/>
      <c r="BXM65" s="37"/>
      <c r="BXN65" s="37"/>
      <c r="BXO65" s="37"/>
      <c r="BXP65" s="37"/>
      <c r="BXQ65" s="37"/>
      <c r="BXR65" s="37"/>
      <c r="BXS65" s="37"/>
      <c r="BXT65" s="37"/>
      <c r="BXU65" s="37"/>
      <c r="BXV65" s="37"/>
      <c r="BXW65" s="37"/>
      <c r="BXX65" s="37"/>
      <c r="BXY65" s="37"/>
      <c r="BXZ65" s="37"/>
      <c r="BYA65" s="37"/>
      <c r="BYB65" s="37"/>
      <c r="BYC65" s="37"/>
      <c r="BYD65" s="37"/>
      <c r="BYE65" s="37"/>
      <c r="BYF65" s="37"/>
      <c r="BYG65" s="37"/>
      <c r="BYH65" s="37"/>
      <c r="BYI65" s="37"/>
      <c r="BYJ65" s="37"/>
      <c r="BYK65" s="37"/>
      <c r="BYL65" s="37"/>
      <c r="BYM65" s="37"/>
      <c r="BYN65" s="37"/>
      <c r="BYO65" s="37"/>
      <c r="BYP65" s="37"/>
      <c r="BYQ65" s="37"/>
      <c r="BYR65" s="37"/>
      <c r="BYS65" s="37"/>
      <c r="BYT65" s="37"/>
      <c r="BYU65" s="37"/>
      <c r="BYV65" s="37"/>
      <c r="BYW65" s="37"/>
      <c r="BYX65" s="37"/>
      <c r="BYY65" s="37"/>
      <c r="BYZ65" s="37"/>
      <c r="BZA65" s="37"/>
      <c r="BZB65" s="37"/>
      <c r="BZC65" s="37"/>
      <c r="BZD65" s="37"/>
      <c r="BZE65" s="37"/>
      <c r="BZF65" s="37"/>
      <c r="BZG65" s="37"/>
      <c r="BZH65" s="37"/>
      <c r="BZI65" s="37"/>
      <c r="BZJ65" s="37"/>
      <c r="BZK65" s="37"/>
      <c r="BZL65" s="37"/>
      <c r="BZM65" s="37"/>
      <c r="BZN65" s="37"/>
      <c r="BZO65" s="37"/>
      <c r="BZP65" s="37"/>
      <c r="BZQ65" s="37"/>
      <c r="BZR65" s="37"/>
      <c r="BZS65" s="37"/>
      <c r="BZT65" s="37"/>
      <c r="BZU65" s="37"/>
      <c r="BZV65" s="37"/>
      <c r="BZW65" s="37"/>
      <c r="BZX65" s="37"/>
      <c r="BZY65" s="37"/>
      <c r="BZZ65" s="37"/>
      <c r="CAA65" s="37"/>
      <c r="CAB65" s="37"/>
      <c r="CAC65" s="37"/>
      <c r="CAD65" s="37"/>
      <c r="CAE65" s="37"/>
      <c r="CAF65" s="37"/>
      <c r="CAG65" s="37"/>
      <c r="CAH65" s="37"/>
      <c r="CAI65" s="37"/>
      <c r="CAJ65" s="37"/>
      <c r="CAK65" s="37"/>
      <c r="CAL65" s="37"/>
      <c r="CAM65" s="37"/>
      <c r="CAN65" s="37"/>
      <c r="CAO65" s="37"/>
      <c r="CAP65" s="37"/>
      <c r="CAQ65" s="37"/>
      <c r="CAR65" s="37"/>
      <c r="CAS65" s="37"/>
      <c r="CAT65" s="37"/>
      <c r="CAU65" s="37"/>
      <c r="CAV65" s="37"/>
      <c r="CAW65" s="37"/>
      <c r="CAX65" s="37"/>
      <c r="CAY65" s="37"/>
      <c r="CAZ65" s="37"/>
      <c r="CBA65" s="37"/>
      <c r="CBB65" s="37"/>
      <c r="CBC65" s="37"/>
      <c r="CBD65" s="37"/>
      <c r="CBE65" s="37"/>
      <c r="CBF65" s="37"/>
      <c r="CBG65" s="37"/>
      <c r="CBH65" s="37"/>
      <c r="CBI65" s="37"/>
      <c r="CBJ65" s="37"/>
      <c r="CBK65" s="37"/>
      <c r="CBL65" s="37"/>
      <c r="CBM65" s="37"/>
      <c r="CBN65" s="37"/>
      <c r="CBO65" s="37"/>
      <c r="CBP65" s="37"/>
      <c r="CBQ65" s="37"/>
      <c r="CBR65" s="37"/>
      <c r="CBS65" s="37"/>
      <c r="CBT65" s="37"/>
      <c r="CBU65" s="37"/>
      <c r="CBV65" s="37"/>
      <c r="CBW65" s="37"/>
      <c r="CBX65" s="37"/>
      <c r="CBY65" s="37"/>
      <c r="CBZ65" s="37"/>
      <c r="CCA65" s="37"/>
      <c r="CCB65" s="37"/>
      <c r="CCC65" s="37"/>
      <c r="CCD65" s="37"/>
      <c r="CCE65" s="37"/>
      <c r="CCF65" s="37"/>
      <c r="CCG65" s="37"/>
      <c r="CCH65" s="37"/>
      <c r="CCI65" s="37"/>
      <c r="CCJ65" s="37"/>
      <c r="CCK65" s="37"/>
      <c r="CCL65" s="37"/>
      <c r="CCM65" s="37"/>
      <c r="CCN65" s="37"/>
      <c r="CCO65" s="37"/>
      <c r="CCP65" s="37"/>
      <c r="CCQ65" s="37"/>
      <c r="CCR65" s="37"/>
      <c r="CCS65" s="37"/>
      <c r="CCT65" s="37"/>
      <c r="CCU65" s="37"/>
      <c r="CCV65" s="37"/>
      <c r="CCW65" s="37"/>
      <c r="CCX65" s="37"/>
      <c r="CCY65" s="37"/>
      <c r="CCZ65" s="37"/>
      <c r="CDA65" s="37"/>
      <c r="CDB65" s="37"/>
      <c r="CDC65" s="37"/>
      <c r="CDD65" s="37"/>
      <c r="CDE65" s="37"/>
      <c r="CDF65" s="37"/>
      <c r="CDG65" s="37"/>
      <c r="CDH65" s="37"/>
      <c r="CDI65" s="37"/>
      <c r="CDJ65" s="37"/>
      <c r="CDK65" s="37"/>
      <c r="CDL65" s="37"/>
      <c r="CDM65" s="37"/>
      <c r="CDN65" s="37"/>
      <c r="CDO65" s="37"/>
      <c r="CDP65" s="37"/>
      <c r="CDQ65" s="37"/>
      <c r="CDR65" s="37"/>
      <c r="CDS65" s="37"/>
      <c r="CDT65" s="37"/>
      <c r="CDU65" s="37"/>
      <c r="CDV65" s="37"/>
      <c r="CDW65" s="37"/>
      <c r="CDX65" s="37"/>
      <c r="CDY65" s="37"/>
      <c r="CDZ65" s="37"/>
      <c r="CEA65" s="37"/>
      <c r="CEB65" s="37"/>
      <c r="CEC65" s="37"/>
      <c r="CED65" s="37"/>
      <c r="CEE65" s="37"/>
      <c r="CEF65" s="37"/>
      <c r="CEG65" s="37"/>
      <c r="CEH65" s="37"/>
      <c r="CEI65" s="37"/>
      <c r="CEJ65" s="37"/>
      <c r="CEK65" s="37"/>
      <c r="CEL65" s="37"/>
      <c r="CEM65" s="37"/>
      <c r="CEN65" s="37"/>
      <c r="CEO65" s="37"/>
      <c r="CEP65" s="37"/>
      <c r="CEQ65" s="37"/>
      <c r="CER65" s="37"/>
      <c r="CES65" s="37"/>
      <c r="CET65" s="37"/>
      <c r="CEU65" s="37"/>
      <c r="CEV65" s="37"/>
      <c r="CEW65" s="37"/>
      <c r="CEX65" s="37"/>
      <c r="CEY65" s="37"/>
      <c r="CEZ65" s="37"/>
      <c r="CFA65" s="37"/>
      <c r="CFB65" s="37"/>
      <c r="CFC65" s="37"/>
      <c r="CFD65" s="37"/>
      <c r="CFE65" s="37"/>
      <c r="CFF65" s="37"/>
      <c r="CFG65" s="37"/>
      <c r="CFH65" s="37"/>
      <c r="CFI65" s="37"/>
      <c r="CFJ65" s="37"/>
      <c r="CFK65" s="37"/>
      <c r="CFL65" s="37"/>
      <c r="CFM65" s="37"/>
      <c r="CFN65" s="37"/>
      <c r="CFO65" s="37"/>
      <c r="CFP65" s="37"/>
      <c r="CFQ65" s="37"/>
      <c r="CFR65" s="37"/>
      <c r="CFS65" s="37"/>
      <c r="CFT65" s="37"/>
      <c r="CFU65" s="37"/>
      <c r="CFV65" s="37"/>
      <c r="CFW65" s="37"/>
      <c r="CFX65" s="37"/>
      <c r="CFY65" s="37"/>
      <c r="CFZ65" s="37"/>
      <c r="CGA65" s="37"/>
      <c r="CGB65" s="37"/>
      <c r="CGC65" s="37"/>
      <c r="CGD65" s="37"/>
      <c r="CGE65" s="37"/>
      <c r="CGF65" s="37"/>
      <c r="CGG65" s="37"/>
      <c r="CGH65" s="37"/>
      <c r="CGI65" s="37"/>
      <c r="CGJ65" s="37"/>
      <c r="CGK65" s="37"/>
      <c r="CGL65" s="37"/>
      <c r="CGM65" s="37"/>
      <c r="CGN65" s="37"/>
      <c r="CGO65" s="37"/>
      <c r="CGP65" s="37"/>
      <c r="CGQ65" s="37"/>
      <c r="CGR65" s="37"/>
      <c r="CGS65" s="37"/>
      <c r="CGT65" s="37"/>
      <c r="CGU65" s="37"/>
      <c r="CGV65" s="37"/>
      <c r="CGW65" s="37"/>
      <c r="CGX65" s="37"/>
      <c r="CGY65" s="37"/>
      <c r="CGZ65" s="37"/>
      <c r="CHA65" s="37"/>
      <c r="CHB65" s="37"/>
      <c r="CHC65" s="37"/>
      <c r="CHD65" s="37"/>
      <c r="CHE65" s="37"/>
      <c r="CHF65" s="37"/>
      <c r="CHG65" s="37"/>
      <c r="CHH65" s="37"/>
      <c r="CHI65" s="37"/>
      <c r="CHJ65" s="37"/>
      <c r="CHK65" s="37"/>
      <c r="CHL65" s="37"/>
      <c r="CHM65" s="37"/>
      <c r="CHN65" s="37"/>
      <c r="CHO65" s="37"/>
      <c r="CHP65" s="37"/>
      <c r="CHQ65" s="37"/>
      <c r="CHR65" s="37"/>
      <c r="CHS65" s="37"/>
      <c r="CHT65" s="37"/>
      <c r="CHU65" s="37"/>
      <c r="CHV65" s="37"/>
      <c r="CHW65" s="37"/>
      <c r="CHX65" s="37"/>
      <c r="CHY65" s="37"/>
      <c r="CHZ65" s="37"/>
      <c r="CIA65" s="37"/>
      <c r="CIB65" s="37"/>
      <c r="CIC65" s="37"/>
      <c r="CID65" s="37"/>
      <c r="CIE65" s="37"/>
      <c r="CIF65" s="37"/>
      <c r="CIG65" s="37"/>
      <c r="CIH65" s="37"/>
      <c r="CII65" s="37"/>
      <c r="CIJ65" s="37"/>
      <c r="CIK65" s="37"/>
      <c r="CIL65" s="37"/>
      <c r="CIM65" s="37"/>
      <c r="CIN65" s="37"/>
      <c r="CIO65" s="37"/>
      <c r="CIP65" s="37"/>
      <c r="CIQ65" s="37"/>
      <c r="CIR65" s="37"/>
      <c r="CIS65" s="37"/>
      <c r="CIT65" s="37"/>
      <c r="CIU65" s="37"/>
      <c r="CIV65" s="37"/>
      <c r="CIW65" s="37"/>
      <c r="CIX65" s="37"/>
      <c r="CIY65" s="37"/>
      <c r="CIZ65" s="37"/>
      <c r="CJA65" s="37"/>
      <c r="CJB65" s="37"/>
      <c r="CJC65" s="37"/>
      <c r="CJD65" s="37"/>
      <c r="CJE65" s="37"/>
      <c r="CJF65" s="37"/>
      <c r="CJG65" s="37"/>
      <c r="CJH65" s="37"/>
      <c r="CJI65" s="37"/>
      <c r="CJJ65" s="37"/>
      <c r="CJK65" s="37"/>
      <c r="CJL65" s="37"/>
      <c r="CJM65" s="37"/>
      <c r="CJN65" s="37"/>
      <c r="CJO65" s="37"/>
      <c r="CJP65" s="37"/>
      <c r="CJQ65" s="37"/>
      <c r="CJR65" s="37"/>
      <c r="CJS65" s="37"/>
      <c r="CJT65" s="37"/>
      <c r="CJU65" s="37"/>
      <c r="CJV65" s="37"/>
      <c r="CJW65" s="37"/>
      <c r="CJX65" s="37"/>
      <c r="CJY65" s="37"/>
      <c r="CJZ65" s="37"/>
      <c r="CKA65" s="37"/>
      <c r="CKB65" s="37"/>
      <c r="CKC65" s="37"/>
      <c r="CKD65" s="37"/>
      <c r="CKE65" s="37"/>
      <c r="CKF65" s="37"/>
      <c r="CKG65" s="37"/>
      <c r="CKH65" s="37"/>
      <c r="CKI65" s="37"/>
      <c r="CKJ65" s="37"/>
      <c r="CKK65" s="37"/>
      <c r="CKL65" s="37"/>
      <c r="CKM65" s="37"/>
      <c r="CKN65" s="37"/>
      <c r="CKO65" s="37"/>
      <c r="CKP65" s="37"/>
      <c r="CKQ65" s="37"/>
      <c r="CKR65" s="37"/>
      <c r="CKS65" s="37"/>
      <c r="CKT65" s="37"/>
      <c r="CKU65" s="37"/>
      <c r="CKV65" s="37"/>
      <c r="CKW65" s="37"/>
      <c r="CKX65" s="37"/>
      <c r="CKY65" s="37"/>
      <c r="CKZ65" s="37"/>
      <c r="CLA65" s="37"/>
      <c r="CLB65" s="37"/>
      <c r="CLC65" s="37"/>
      <c r="CLD65" s="37"/>
      <c r="CLE65" s="37"/>
      <c r="CLF65" s="37"/>
      <c r="CLG65" s="37"/>
      <c r="CLH65" s="37"/>
      <c r="CLI65" s="37"/>
      <c r="CLJ65" s="37"/>
      <c r="CLK65" s="37"/>
      <c r="CLL65" s="37"/>
      <c r="CLM65" s="37"/>
      <c r="CLN65" s="37"/>
      <c r="CLO65" s="37"/>
      <c r="CLP65" s="37"/>
      <c r="CLQ65" s="37"/>
      <c r="CLR65" s="37"/>
      <c r="CLS65" s="37"/>
      <c r="CLT65" s="37"/>
      <c r="CLU65" s="37"/>
      <c r="CLV65" s="37"/>
      <c r="CLW65" s="37"/>
      <c r="CLX65" s="37"/>
      <c r="CLY65" s="37"/>
      <c r="CLZ65" s="37"/>
      <c r="CMA65" s="37"/>
      <c r="CMB65" s="37"/>
      <c r="CMC65" s="37"/>
      <c r="CMD65" s="37"/>
      <c r="CME65" s="37"/>
      <c r="CMF65" s="37"/>
      <c r="CMG65" s="37"/>
      <c r="CMH65" s="37"/>
      <c r="CMI65" s="37"/>
      <c r="CMJ65" s="37"/>
      <c r="CMK65" s="37"/>
      <c r="CML65" s="37"/>
      <c r="CMM65" s="37"/>
      <c r="CMN65" s="37"/>
      <c r="CMO65" s="37"/>
      <c r="CMP65" s="37"/>
      <c r="CMQ65" s="37"/>
      <c r="CMR65" s="37"/>
      <c r="CMS65" s="37"/>
      <c r="CMT65" s="37"/>
      <c r="CMU65" s="37"/>
      <c r="CMV65" s="37"/>
      <c r="CMW65" s="37"/>
      <c r="CMX65" s="37"/>
      <c r="CMY65" s="37"/>
      <c r="CMZ65" s="37"/>
      <c r="CNA65" s="37"/>
      <c r="CNB65" s="37"/>
      <c r="CNC65" s="37"/>
      <c r="CND65" s="37"/>
      <c r="CNE65" s="37"/>
      <c r="CNF65" s="37"/>
      <c r="CNG65" s="37"/>
      <c r="CNH65" s="37"/>
      <c r="CNI65" s="37"/>
      <c r="CNJ65" s="37"/>
      <c r="CNK65" s="37"/>
      <c r="CNL65" s="37"/>
      <c r="CNM65" s="37"/>
      <c r="CNN65" s="37"/>
      <c r="CNO65" s="37"/>
      <c r="CNP65" s="37"/>
      <c r="CNQ65" s="37"/>
      <c r="CNR65" s="37"/>
      <c r="CNS65" s="37"/>
      <c r="CNT65" s="37"/>
      <c r="CNU65" s="37"/>
      <c r="CNV65" s="37"/>
      <c r="CNW65" s="37"/>
      <c r="CNX65" s="37"/>
      <c r="CNY65" s="37"/>
      <c r="CNZ65" s="37"/>
      <c r="COA65" s="37"/>
      <c r="COB65" s="37"/>
      <c r="COC65" s="37"/>
      <c r="COD65" s="37"/>
      <c r="COE65" s="37"/>
      <c r="COF65" s="37"/>
      <c r="COG65" s="37"/>
      <c r="COH65" s="37"/>
      <c r="COI65" s="37"/>
      <c r="COJ65" s="37"/>
      <c r="COK65" s="37"/>
      <c r="COL65" s="37"/>
      <c r="COM65" s="37"/>
      <c r="CON65" s="37"/>
      <c r="COO65" s="37"/>
      <c r="COP65" s="37"/>
      <c r="COQ65" s="37"/>
      <c r="COR65" s="37"/>
      <c r="COS65" s="37"/>
      <c r="COT65" s="37"/>
      <c r="COU65" s="37"/>
      <c r="COV65" s="37"/>
      <c r="COW65" s="37"/>
      <c r="COX65" s="37"/>
      <c r="COY65" s="37"/>
      <c r="COZ65" s="37"/>
      <c r="CPA65" s="37"/>
      <c r="CPB65" s="37"/>
      <c r="CPC65" s="37"/>
      <c r="CPD65" s="37"/>
      <c r="CPE65" s="37"/>
      <c r="CPF65" s="37"/>
      <c r="CPG65" s="37"/>
      <c r="CPH65" s="37"/>
      <c r="CPI65" s="37"/>
      <c r="CPJ65" s="37"/>
      <c r="CPK65" s="37"/>
      <c r="CPL65" s="37"/>
      <c r="CPM65" s="37"/>
      <c r="CPN65" s="37"/>
      <c r="CPO65" s="37"/>
      <c r="CPP65" s="37"/>
      <c r="CPQ65" s="37"/>
      <c r="CPR65" s="37"/>
      <c r="CPS65" s="37"/>
      <c r="CPT65" s="37"/>
      <c r="CPU65" s="37"/>
      <c r="CPV65" s="37"/>
      <c r="CPW65" s="37"/>
      <c r="CPX65" s="37"/>
      <c r="CPY65" s="37"/>
      <c r="CPZ65" s="37"/>
      <c r="CQA65" s="37"/>
      <c r="CQB65" s="37"/>
      <c r="CQC65" s="37"/>
      <c r="CQD65" s="37"/>
      <c r="CQE65" s="37"/>
      <c r="CQF65" s="37"/>
      <c r="CQG65" s="37"/>
      <c r="CQH65" s="37"/>
      <c r="CQI65" s="37"/>
      <c r="CQJ65" s="37"/>
      <c r="CQK65" s="37"/>
      <c r="CQL65" s="37"/>
      <c r="CQM65" s="37"/>
      <c r="CQN65" s="37"/>
      <c r="CQO65" s="37"/>
      <c r="CQP65" s="37"/>
      <c r="CQQ65" s="37"/>
      <c r="CQR65" s="37"/>
      <c r="CQS65" s="37"/>
      <c r="CQT65" s="37"/>
      <c r="CQU65" s="37"/>
      <c r="CQV65" s="37"/>
      <c r="CQW65" s="37"/>
      <c r="CQX65" s="37"/>
      <c r="CQY65" s="37"/>
      <c r="CQZ65" s="37"/>
      <c r="CRA65" s="37"/>
      <c r="CRB65" s="37"/>
      <c r="CRC65" s="37"/>
      <c r="CRD65" s="37"/>
      <c r="CRE65" s="37"/>
      <c r="CRF65" s="37"/>
      <c r="CRG65" s="37"/>
      <c r="CRH65" s="37"/>
      <c r="CRI65" s="37"/>
      <c r="CRJ65" s="37"/>
      <c r="CRK65" s="37"/>
      <c r="CRL65" s="37"/>
      <c r="CRM65" s="37"/>
      <c r="CRN65" s="37"/>
      <c r="CRO65" s="37"/>
      <c r="CRP65" s="37"/>
      <c r="CRQ65" s="37"/>
      <c r="CRR65" s="37"/>
      <c r="CRS65" s="37"/>
      <c r="CRT65" s="37"/>
      <c r="CRU65" s="37"/>
      <c r="CRV65" s="37"/>
      <c r="CRW65" s="37"/>
      <c r="CRX65" s="37"/>
      <c r="CRY65" s="37"/>
      <c r="CRZ65" s="37"/>
      <c r="CSA65" s="37"/>
      <c r="CSB65" s="37"/>
      <c r="CSC65" s="37"/>
      <c r="CSD65" s="37"/>
      <c r="CSE65" s="37"/>
      <c r="CSF65" s="37"/>
      <c r="CSG65" s="37"/>
      <c r="CSH65" s="37"/>
      <c r="CSI65" s="37"/>
      <c r="CSJ65" s="37"/>
      <c r="CSK65" s="37"/>
      <c r="CSL65" s="37"/>
      <c r="CSM65" s="37"/>
      <c r="CSN65" s="37"/>
      <c r="CSO65" s="37"/>
      <c r="CSP65" s="37"/>
      <c r="CSQ65" s="37"/>
      <c r="CSR65" s="37"/>
      <c r="CSS65" s="37"/>
      <c r="CST65" s="37"/>
      <c r="CSU65" s="37"/>
      <c r="CSV65" s="37"/>
      <c r="CSW65" s="37"/>
      <c r="CSX65" s="37"/>
      <c r="CSY65" s="37"/>
      <c r="CSZ65" s="37"/>
      <c r="CTA65" s="37"/>
      <c r="CTB65" s="37"/>
      <c r="CTC65" s="37"/>
      <c r="CTD65" s="37"/>
      <c r="CTE65" s="37"/>
      <c r="CTF65" s="37"/>
      <c r="CTG65" s="37"/>
      <c r="CTH65" s="37"/>
      <c r="CTI65" s="37"/>
      <c r="CTJ65" s="37"/>
      <c r="CTK65" s="37"/>
      <c r="CTL65" s="37"/>
      <c r="CTM65" s="37"/>
      <c r="CTN65" s="37"/>
      <c r="CTO65" s="37"/>
      <c r="CTP65" s="37"/>
      <c r="CTQ65" s="37"/>
      <c r="CTR65" s="37"/>
      <c r="CTS65" s="37"/>
      <c r="CTT65" s="37"/>
      <c r="CTU65" s="37"/>
      <c r="CTV65" s="37"/>
      <c r="CTW65" s="37"/>
      <c r="CTX65" s="37"/>
      <c r="CTY65" s="37"/>
      <c r="CTZ65" s="37"/>
      <c r="CUA65" s="37"/>
      <c r="CUB65" s="37"/>
      <c r="CUC65" s="37"/>
      <c r="CUD65" s="37"/>
      <c r="CUE65" s="37"/>
      <c r="CUF65" s="37"/>
      <c r="CUG65" s="37"/>
      <c r="CUH65" s="37"/>
      <c r="CUI65" s="37"/>
      <c r="CUJ65" s="37"/>
      <c r="CUK65" s="37"/>
      <c r="CUL65" s="37"/>
      <c r="CUM65" s="37"/>
      <c r="CUN65" s="37"/>
      <c r="CUO65" s="37"/>
      <c r="CUP65" s="37"/>
      <c r="CUQ65" s="37"/>
      <c r="CUR65" s="37"/>
      <c r="CUS65" s="37"/>
      <c r="CUT65" s="37"/>
      <c r="CUU65" s="37"/>
      <c r="CUV65" s="37"/>
      <c r="CUW65" s="37"/>
      <c r="CUX65" s="37"/>
      <c r="CUY65" s="37"/>
      <c r="CUZ65" s="37"/>
      <c r="CVA65" s="37"/>
      <c r="CVB65" s="37"/>
      <c r="CVC65" s="37"/>
      <c r="CVD65" s="37"/>
      <c r="CVE65" s="37"/>
      <c r="CVF65" s="37"/>
      <c r="CVG65" s="37"/>
      <c r="CVH65" s="37"/>
      <c r="CVI65" s="37"/>
      <c r="CVJ65" s="37"/>
      <c r="CVK65" s="37"/>
      <c r="CVL65" s="37"/>
      <c r="CVM65" s="37"/>
      <c r="CVN65" s="37"/>
      <c r="CVO65" s="37"/>
      <c r="CVP65" s="37"/>
      <c r="CVQ65" s="37"/>
      <c r="CVR65" s="37"/>
      <c r="CVS65" s="37"/>
      <c r="CVT65" s="37"/>
      <c r="CVU65" s="37"/>
      <c r="CVV65" s="37"/>
      <c r="CVW65" s="37"/>
      <c r="CVX65" s="37"/>
      <c r="CVY65" s="37"/>
      <c r="CVZ65" s="37"/>
      <c r="CWA65" s="37"/>
      <c r="CWB65" s="37"/>
      <c r="CWC65" s="37"/>
      <c r="CWD65" s="37"/>
      <c r="CWE65" s="37"/>
      <c r="CWF65" s="37"/>
      <c r="CWG65" s="37"/>
      <c r="CWH65" s="37"/>
      <c r="CWI65" s="37"/>
      <c r="CWJ65" s="37"/>
      <c r="CWK65" s="37"/>
      <c r="CWL65" s="37"/>
      <c r="CWM65" s="37"/>
      <c r="CWN65" s="37"/>
      <c r="CWO65" s="37"/>
      <c r="CWP65" s="37"/>
      <c r="CWQ65" s="37"/>
      <c r="CWR65" s="37"/>
      <c r="CWS65" s="37"/>
      <c r="CWT65" s="37"/>
      <c r="CWU65" s="37"/>
      <c r="CWV65" s="37"/>
      <c r="CWW65" s="37"/>
      <c r="CWX65" s="37"/>
      <c r="CWY65" s="37"/>
      <c r="CWZ65" s="37"/>
      <c r="CXA65" s="37"/>
      <c r="CXB65" s="37"/>
      <c r="CXC65" s="37"/>
      <c r="CXD65" s="37"/>
      <c r="CXE65" s="37"/>
      <c r="CXF65" s="37"/>
      <c r="CXG65" s="37"/>
      <c r="CXH65" s="37"/>
      <c r="CXI65" s="37"/>
      <c r="CXJ65" s="37"/>
      <c r="CXK65" s="37"/>
      <c r="CXL65" s="37"/>
      <c r="CXM65" s="37"/>
      <c r="CXN65" s="37"/>
      <c r="CXO65" s="37"/>
      <c r="CXP65" s="37"/>
      <c r="CXQ65" s="37"/>
      <c r="CXR65" s="37"/>
      <c r="CXS65" s="37"/>
      <c r="CXT65" s="37"/>
      <c r="CXU65" s="37"/>
      <c r="CXV65" s="37"/>
      <c r="CXW65" s="37"/>
      <c r="CXX65" s="37"/>
      <c r="CXY65" s="37"/>
      <c r="CXZ65" s="37"/>
      <c r="CYA65" s="37"/>
      <c r="CYB65" s="37"/>
      <c r="CYC65" s="37"/>
      <c r="CYD65" s="37"/>
      <c r="CYE65" s="37"/>
      <c r="CYF65" s="37"/>
      <c r="CYG65" s="37"/>
      <c r="CYH65" s="37"/>
      <c r="CYI65" s="37"/>
      <c r="CYJ65" s="37"/>
      <c r="CYK65" s="37"/>
      <c r="CYL65" s="37"/>
      <c r="CYM65" s="37"/>
      <c r="CYN65" s="37"/>
      <c r="CYO65" s="37"/>
      <c r="CYP65" s="37"/>
      <c r="CYQ65" s="37"/>
      <c r="CYR65" s="37"/>
      <c r="CYS65" s="37"/>
      <c r="CYT65" s="37"/>
      <c r="CYU65" s="37"/>
      <c r="CYV65" s="37"/>
      <c r="CYW65" s="37"/>
      <c r="CYX65" s="37"/>
      <c r="CYY65" s="37"/>
      <c r="CYZ65" s="37"/>
      <c r="CZA65" s="37"/>
      <c r="CZB65" s="37"/>
      <c r="CZC65" s="37"/>
      <c r="CZD65" s="37"/>
      <c r="CZE65" s="37"/>
      <c r="CZF65" s="37"/>
      <c r="CZG65" s="37"/>
      <c r="CZH65" s="37"/>
      <c r="CZI65" s="37"/>
      <c r="CZJ65" s="37"/>
      <c r="CZK65" s="37"/>
      <c r="CZL65" s="37"/>
      <c r="CZM65" s="37"/>
      <c r="CZN65" s="37"/>
      <c r="CZO65" s="37"/>
      <c r="CZP65" s="37"/>
      <c r="CZQ65" s="37"/>
      <c r="CZR65" s="37"/>
      <c r="CZS65" s="37"/>
      <c r="CZT65" s="37"/>
      <c r="CZU65" s="37"/>
      <c r="CZV65" s="37"/>
      <c r="CZW65" s="37"/>
      <c r="CZX65" s="37"/>
      <c r="CZY65" s="37"/>
      <c r="CZZ65" s="37"/>
      <c r="DAA65" s="37"/>
      <c r="DAB65" s="37"/>
      <c r="DAC65" s="37"/>
      <c r="DAD65" s="37"/>
      <c r="DAE65" s="37"/>
      <c r="DAF65" s="37"/>
      <c r="DAG65" s="37"/>
      <c r="DAH65" s="37"/>
      <c r="DAI65" s="37"/>
      <c r="DAJ65" s="37"/>
      <c r="DAK65" s="37"/>
      <c r="DAL65" s="37"/>
      <c r="DAM65" s="37"/>
      <c r="DAN65" s="37"/>
      <c r="DAO65" s="37"/>
      <c r="DAP65" s="37"/>
      <c r="DAQ65" s="37"/>
      <c r="DAR65" s="37"/>
      <c r="DAS65" s="37"/>
      <c r="DAT65" s="37"/>
      <c r="DAU65" s="37"/>
      <c r="DAV65" s="37"/>
      <c r="DAW65" s="37"/>
      <c r="DAX65" s="37"/>
      <c r="DAY65" s="37"/>
      <c r="DAZ65" s="37"/>
      <c r="DBA65" s="37"/>
      <c r="DBB65" s="37"/>
      <c r="DBC65" s="37"/>
      <c r="DBD65" s="37"/>
      <c r="DBE65" s="37"/>
      <c r="DBF65" s="37"/>
      <c r="DBG65" s="37"/>
      <c r="DBH65" s="37"/>
      <c r="DBI65" s="37"/>
      <c r="DBJ65" s="37"/>
      <c r="DBK65" s="37"/>
      <c r="DBL65" s="37"/>
      <c r="DBM65" s="37"/>
      <c r="DBN65" s="37"/>
      <c r="DBO65" s="37"/>
      <c r="DBP65" s="37"/>
      <c r="DBQ65" s="37"/>
      <c r="DBR65" s="37"/>
      <c r="DBS65" s="37"/>
      <c r="DBT65" s="37"/>
      <c r="DBU65" s="37"/>
      <c r="DBV65" s="37"/>
      <c r="DBW65" s="37"/>
      <c r="DBX65" s="37"/>
      <c r="DBY65" s="37"/>
      <c r="DBZ65" s="37"/>
      <c r="DCA65" s="37"/>
      <c r="DCB65" s="37"/>
      <c r="DCC65" s="37"/>
      <c r="DCD65" s="37"/>
      <c r="DCE65" s="37"/>
      <c r="DCF65" s="37"/>
      <c r="DCG65" s="37"/>
      <c r="DCH65" s="37"/>
      <c r="DCI65" s="37"/>
      <c r="DCJ65" s="37"/>
      <c r="DCK65" s="37"/>
      <c r="DCL65" s="37"/>
      <c r="DCM65" s="37"/>
      <c r="DCN65" s="37"/>
      <c r="DCO65" s="37"/>
      <c r="DCP65" s="37"/>
      <c r="DCQ65" s="37"/>
      <c r="DCR65" s="37"/>
      <c r="DCS65" s="37"/>
      <c r="DCT65" s="37"/>
      <c r="DCU65" s="37"/>
      <c r="DCV65" s="37"/>
      <c r="DCW65" s="37"/>
      <c r="DCX65" s="37"/>
      <c r="DCY65" s="37"/>
      <c r="DCZ65" s="37"/>
      <c r="DDA65" s="37"/>
      <c r="DDB65" s="37"/>
      <c r="DDC65" s="37"/>
      <c r="DDD65" s="37"/>
      <c r="DDE65" s="37"/>
      <c r="DDF65" s="37"/>
      <c r="DDG65" s="37"/>
      <c r="DDH65" s="37"/>
      <c r="DDI65" s="37"/>
      <c r="DDJ65" s="37"/>
      <c r="DDK65" s="37"/>
      <c r="DDL65" s="37"/>
      <c r="DDM65" s="37"/>
      <c r="DDN65" s="37"/>
      <c r="DDO65" s="37"/>
      <c r="DDP65" s="37"/>
      <c r="DDQ65" s="37"/>
      <c r="DDR65" s="37"/>
      <c r="DDS65" s="37"/>
      <c r="DDT65" s="37"/>
      <c r="DDU65" s="37"/>
      <c r="DDV65" s="37"/>
      <c r="DDW65" s="37"/>
      <c r="DDX65" s="37"/>
      <c r="DDY65" s="37"/>
      <c r="DDZ65" s="37"/>
      <c r="DEA65" s="37"/>
      <c r="DEB65" s="37"/>
      <c r="DEC65" s="37"/>
      <c r="DED65" s="37"/>
      <c r="DEE65" s="37"/>
      <c r="DEF65" s="37"/>
      <c r="DEG65" s="37"/>
      <c r="DEH65" s="37"/>
      <c r="DEI65" s="37"/>
      <c r="DEJ65" s="37"/>
      <c r="DEK65" s="37"/>
      <c r="DEL65" s="37"/>
      <c r="DEM65" s="37"/>
      <c r="DEN65" s="37"/>
      <c r="DEO65" s="37"/>
      <c r="DEP65" s="37"/>
      <c r="DEQ65" s="37"/>
      <c r="DER65" s="37"/>
      <c r="DES65" s="37"/>
      <c r="DET65" s="37"/>
      <c r="DEU65" s="37"/>
      <c r="DEV65" s="37"/>
      <c r="DEW65" s="37"/>
      <c r="DEX65" s="37"/>
      <c r="DEY65" s="37"/>
      <c r="DEZ65" s="37"/>
      <c r="DFA65" s="37"/>
      <c r="DFB65" s="37"/>
      <c r="DFC65" s="37"/>
      <c r="DFD65" s="37"/>
      <c r="DFE65" s="37"/>
      <c r="DFF65" s="37"/>
      <c r="DFG65" s="37"/>
      <c r="DFH65" s="37"/>
      <c r="DFI65" s="37"/>
      <c r="DFJ65" s="37"/>
      <c r="DFK65" s="37"/>
      <c r="DFL65" s="37"/>
      <c r="DFM65" s="37"/>
      <c r="DFN65" s="37"/>
      <c r="DFO65" s="37"/>
      <c r="DFP65" s="37"/>
      <c r="DFQ65" s="37"/>
      <c r="DFR65" s="37"/>
      <c r="DFS65" s="37"/>
      <c r="DFT65" s="37"/>
      <c r="DFU65" s="37"/>
      <c r="DFV65" s="37"/>
      <c r="DFW65" s="37"/>
      <c r="DFX65" s="37"/>
      <c r="DFY65" s="37"/>
      <c r="DFZ65" s="37"/>
      <c r="DGA65" s="37"/>
      <c r="DGB65" s="37"/>
      <c r="DGC65" s="37"/>
      <c r="DGD65" s="37"/>
      <c r="DGE65" s="37"/>
      <c r="DGF65" s="37"/>
      <c r="DGG65" s="37"/>
      <c r="DGH65" s="37"/>
      <c r="DGI65" s="37"/>
      <c r="DGJ65" s="37"/>
      <c r="DGK65" s="37"/>
      <c r="DGL65" s="37"/>
      <c r="DGM65" s="37"/>
      <c r="DGN65" s="37"/>
      <c r="DGO65" s="37"/>
      <c r="DGP65" s="37"/>
      <c r="DGQ65" s="37"/>
      <c r="DGR65" s="37"/>
      <c r="DGS65" s="37"/>
      <c r="DGT65" s="37"/>
      <c r="DGU65" s="37"/>
      <c r="DGV65" s="37"/>
      <c r="DGW65" s="37"/>
      <c r="DGX65" s="37"/>
      <c r="DGY65" s="37"/>
      <c r="DGZ65" s="37"/>
      <c r="DHA65" s="37"/>
      <c r="DHB65" s="37"/>
      <c r="DHC65" s="37"/>
      <c r="DHD65" s="37"/>
      <c r="DHE65" s="37"/>
      <c r="DHF65" s="37"/>
      <c r="DHG65" s="37"/>
      <c r="DHH65" s="37"/>
      <c r="DHI65" s="37"/>
      <c r="DHJ65" s="37"/>
      <c r="DHK65" s="37"/>
      <c r="DHL65" s="37"/>
      <c r="DHM65" s="37"/>
      <c r="DHN65" s="37"/>
      <c r="DHO65" s="37"/>
      <c r="DHP65" s="37"/>
      <c r="DHQ65" s="37"/>
      <c r="DHR65" s="37"/>
      <c r="DHS65" s="37"/>
      <c r="DHT65" s="37"/>
      <c r="DHU65" s="37"/>
      <c r="DHV65" s="37"/>
      <c r="DHW65" s="37"/>
      <c r="DHX65" s="37"/>
      <c r="DHY65" s="37"/>
      <c r="DHZ65" s="37"/>
      <c r="DIA65" s="37"/>
      <c r="DIB65" s="37"/>
      <c r="DIC65" s="37"/>
      <c r="DID65" s="37"/>
      <c r="DIE65" s="37"/>
      <c r="DIF65" s="37"/>
      <c r="DIG65" s="37"/>
      <c r="DIH65" s="37"/>
      <c r="DII65" s="37"/>
      <c r="DIJ65" s="37"/>
      <c r="DIK65" s="37"/>
      <c r="DIL65" s="37"/>
      <c r="DIM65" s="37"/>
      <c r="DIN65" s="37"/>
      <c r="DIO65" s="37"/>
      <c r="DIP65" s="37"/>
      <c r="DIQ65" s="37"/>
      <c r="DIR65" s="37"/>
      <c r="DIS65" s="37"/>
      <c r="DIT65" s="37"/>
      <c r="DIU65" s="37"/>
      <c r="DIV65" s="37"/>
      <c r="DIW65" s="37"/>
      <c r="DIX65" s="37"/>
      <c r="DIY65" s="37"/>
      <c r="DIZ65" s="37"/>
      <c r="DJA65" s="37"/>
      <c r="DJB65" s="37"/>
      <c r="DJC65" s="37"/>
      <c r="DJD65" s="37"/>
      <c r="DJE65" s="37"/>
      <c r="DJF65" s="37"/>
      <c r="DJG65" s="37"/>
      <c r="DJH65" s="37"/>
      <c r="DJI65" s="37"/>
      <c r="DJJ65" s="37"/>
      <c r="DJK65" s="37"/>
      <c r="DJL65" s="37"/>
      <c r="DJM65" s="37"/>
      <c r="DJN65" s="37"/>
      <c r="DJO65" s="37"/>
      <c r="DJP65" s="37"/>
      <c r="DJQ65" s="37"/>
      <c r="DJR65" s="37"/>
      <c r="DJS65" s="37"/>
      <c r="DJT65" s="37"/>
      <c r="DJU65" s="37"/>
      <c r="DJV65" s="37"/>
      <c r="DJW65" s="37"/>
      <c r="DJX65" s="37"/>
      <c r="DJY65" s="37"/>
      <c r="DJZ65" s="37"/>
      <c r="DKA65" s="37"/>
      <c r="DKB65" s="37"/>
      <c r="DKC65" s="37"/>
      <c r="DKD65" s="37"/>
      <c r="DKE65" s="37"/>
      <c r="DKF65" s="37"/>
      <c r="DKG65" s="37"/>
      <c r="DKH65" s="37"/>
      <c r="DKI65" s="37"/>
      <c r="DKJ65" s="37"/>
      <c r="DKK65" s="37"/>
      <c r="DKL65" s="37"/>
      <c r="DKM65" s="37"/>
      <c r="DKN65" s="37"/>
      <c r="DKO65" s="37"/>
      <c r="DKP65" s="37"/>
      <c r="DKQ65" s="37"/>
      <c r="DKR65" s="37"/>
      <c r="DKS65" s="37"/>
      <c r="DKT65" s="37"/>
      <c r="DKU65" s="37"/>
      <c r="DKV65" s="37"/>
      <c r="DKW65" s="37"/>
      <c r="DKX65" s="37"/>
      <c r="DKY65" s="37"/>
      <c r="DKZ65" s="37"/>
      <c r="DLA65" s="37"/>
      <c r="DLB65" s="37"/>
      <c r="DLC65" s="37"/>
      <c r="DLD65" s="37"/>
      <c r="DLE65" s="37"/>
      <c r="DLF65" s="37"/>
      <c r="DLG65" s="37"/>
      <c r="DLH65" s="37"/>
      <c r="DLI65" s="37"/>
      <c r="DLJ65" s="37"/>
      <c r="DLK65" s="37"/>
      <c r="DLL65" s="37"/>
      <c r="DLM65" s="37"/>
      <c r="DLN65" s="37"/>
      <c r="DLO65" s="37"/>
      <c r="DLP65" s="37"/>
      <c r="DLQ65" s="37"/>
      <c r="DLR65" s="37"/>
      <c r="DLS65" s="37"/>
      <c r="DLT65" s="37"/>
      <c r="DLU65" s="37"/>
      <c r="DLV65" s="37"/>
      <c r="DLW65" s="37"/>
      <c r="DLX65" s="37"/>
      <c r="DLY65" s="37"/>
      <c r="DLZ65" s="37"/>
      <c r="DMA65" s="37"/>
      <c r="DMB65" s="37"/>
      <c r="DMC65" s="37"/>
      <c r="DMD65" s="37"/>
      <c r="DME65" s="37"/>
      <c r="DMF65" s="37"/>
      <c r="DMG65" s="37"/>
      <c r="DMH65" s="37"/>
      <c r="DMI65" s="37"/>
      <c r="DMJ65" s="37"/>
      <c r="DMK65" s="37"/>
      <c r="DML65" s="37"/>
      <c r="DMM65" s="37"/>
      <c r="DMN65" s="37"/>
      <c r="DMO65" s="37"/>
      <c r="DMP65" s="37"/>
      <c r="DMQ65" s="37"/>
      <c r="DMR65" s="37"/>
      <c r="DMS65" s="37"/>
      <c r="DMT65" s="37"/>
      <c r="DMU65" s="37"/>
      <c r="DMV65" s="37"/>
      <c r="DMW65" s="37"/>
      <c r="DMX65" s="37"/>
      <c r="DMY65" s="37"/>
      <c r="DMZ65" s="37"/>
      <c r="DNA65" s="37"/>
      <c r="DNB65" s="37"/>
      <c r="DNC65" s="37"/>
      <c r="DND65" s="37"/>
      <c r="DNE65" s="37"/>
      <c r="DNF65" s="37"/>
      <c r="DNG65" s="37"/>
      <c r="DNH65" s="37"/>
      <c r="DNI65" s="37"/>
      <c r="DNJ65" s="37"/>
      <c r="DNK65" s="37"/>
      <c r="DNL65" s="37"/>
      <c r="DNM65" s="37"/>
      <c r="DNN65" s="37"/>
      <c r="DNO65" s="37"/>
      <c r="DNP65" s="37"/>
      <c r="DNQ65" s="37"/>
      <c r="DNR65" s="37"/>
      <c r="DNS65" s="37"/>
      <c r="DNT65" s="37"/>
      <c r="DNU65" s="37"/>
      <c r="DNV65" s="37"/>
      <c r="DNW65" s="37"/>
      <c r="DNX65" s="37"/>
      <c r="DNY65" s="37"/>
      <c r="DNZ65" s="37"/>
      <c r="DOA65" s="37"/>
      <c r="DOB65" s="37"/>
      <c r="DOC65" s="37"/>
      <c r="DOD65" s="37"/>
      <c r="DOE65" s="37"/>
      <c r="DOF65" s="37"/>
      <c r="DOG65" s="37"/>
      <c r="DOH65" s="37"/>
      <c r="DOI65" s="37"/>
      <c r="DOJ65" s="37"/>
      <c r="DOK65" s="37"/>
      <c r="DOL65" s="37"/>
      <c r="DOM65" s="37"/>
      <c r="DON65" s="37"/>
      <c r="DOO65" s="37"/>
      <c r="DOP65" s="37"/>
      <c r="DOQ65" s="37"/>
      <c r="DOR65" s="37"/>
      <c r="DOS65" s="37"/>
      <c r="DOT65" s="37"/>
      <c r="DOU65" s="37"/>
      <c r="DOV65" s="37"/>
      <c r="DOW65" s="37"/>
      <c r="DOX65" s="37"/>
      <c r="DOY65" s="37"/>
      <c r="DOZ65" s="37"/>
      <c r="DPA65" s="37"/>
      <c r="DPB65" s="37"/>
      <c r="DPC65" s="37"/>
      <c r="DPD65" s="37"/>
      <c r="DPE65" s="37"/>
      <c r="DPF65" s="37"/>
      <c r="DPG65" s="37"/>
      <c r="DPH65" s="37"/>
      <c r="DPI65" s="37"/>
      <c r="DPJ65" s="37"/>
      <c r="DPK65" s="37"/>
      <c r="DPL65" s="37"/>
      <c r="DPM65" s="37"/>
      <c r="DPN65" s="37"/>
      <c r="DPO65" s="37"/>
      <c r="DPP65" s="37"/>
      <c r="DPQ65" s="37"/>
      <c r="DPR65" s="37"/>
      <c r="DPS65" s="37"/>
      <c r="DPT65" s="37"/>
      <c r="DPU65" s="37"/>
      <c r="DPV65" s="37"/>
      <c r="DPW65" s="37"/>
      <c r="DPX65" s="37"/>
      <c r="DPY65" s="37"/>
      <c r="DPZ65" s="37"/>
      <c r="DQA65" s="37"/>
      <c r="DQB65" s="37"/>
      <c r="DQC65" s="37"/>
      <c r="DQD65" s="37"/>
      <c r="DQE65" s="37"/>
      <c r="DQF65" s="37"/>
      <c r="DQG65" s="37"/>
      <c r="DQH65" s="37"/>
      <c r="DQI65" s="37"/>
      <c r="DQJ65" s="37"/>
      <c r="DQK65" s="37"/>
      <c r="DQL65" s="37"/>
      <c r="DQM65" s="37"/>
      <c r="DQN65" s="37"/>
      <c r="DQO65" s="37"/>
      <c r="DQP65" s="37"/>
      <c r="DQQ65" s="37"/>
      <c r="DQR65" s="37"/>
      <c r="DQS65" s="37"/>
      <c r="DQT65" s="37"/>
      <c r="DQU65" s="37"/>
      <c r="DQV65" s="37"/>
      <c r="DQW65" s="37"/>
      <c r="DQX65" s="37"/>
      <c r="DQY65" s="37"/>
      <c r="DQZ65" s="37"/>
      <c r="DRA65" s="37"/>
      <c r="DRB65" s="37"/>
      <c r="DRC65" s="37"/>
      <c r="DRD65" s="37"/>
      <c r="DRE65" s="37"/>
      <c r="DRF65" s="37"/>
      <c r="DRG65" s="37"/>
      <c r="DRH65" s="37"/>
      <c r="DRI65" s="37"/>
      <c r="DRJ65" s="37"/>
      <c r="DRK65" s="37"/>
      <c r="DRL65" s="37"/>
      <c r="DRM65" s="37"/>
      <c r="DRN65" s="37"/>
      <c r="DRO65" s="37"/>
      <c r="DRP65" s="37"/>
      <c r="DRQ65" s="37"/>
      <c r="DRR65" s="37"/>
      <c r="DRS65" s="37"/>
      <c r="DRT65" s="37"/>
      <c r="DRU65" s="37"/>
      <c r="DRV65" s="37"/>
      <c r="DRW65" s="37"/>
      <c r="DRX65" s="37"/>
      <c r="DRY65" s="37"/>
      <c r="DRZ65" s="37"/>
      <c r="DSA65" s="37"/>
      <c r="DSB65" s="37"/>
      <c r="DSC65" s="37"/>
      <c r="DSD65" s="37"/>
      <c r="DSE65" s="37"/>
      <c r="DSF65" s="37"/>
      <c r="DSG65" s="37"/>
      <c r="DSH65" s="37"/>
      <c r="DSI65" s="37"/>
      <c r="DSJ65" s="37"/>
      <c r="DSK65" s="37"/>
      <c r="DSL65" s="37"/>
      <c r="DSM65" s="37"/>
      <c r="DSN65" s="37"/>
      <c r="DSO65" s="37"/>
      <c r="DSP65" s="37"/>
      <c r="DSQ65" s="37"/>
      <c r="DSR65" s="37"/>
      <c r="DSS65" s="37"/>
      <c r="DST65" s="37"/>
      <c r="DSU65" s="37"/>
      <c r="DSV65" s="37"/>
      <c r="DSW65" s="37"/>
      <c r="DSX65" s="37"/>
      <c r="DSY65" s="37"/>
      <c r="DSZ65" s="37"/>
      <c r="DTA65" s="37"/>
      <c r="DTB65" s="37"/>
      <c r="DTC65" s="37"/>
      <c r="DTD65" s="37"/>
      <c r="DTE65" s="37"/>
      <c r="DTF65" s="37"/>
      <c r="DTG65" s="37"/>
      <c r="DTH65" s="37"/>
      <c r="DTI65" s="37"/>
      <c r="DTJ65" s="37"/>
      <c r="DTK65" s="37"/>
      <c r="DTL65" s="37"/>
      <c r="DTM65" s="37"/>
      <c r="DTN65" s="37"/>
      <c r="DTO65" s="37"/>
      <c r="DTP65" s="37"/>
      <c r="DTQ65" s="37"/>
      <c r="DTR65" s="37"/>
      <c r="DTS65" s="37"/>
      <c r="DTT65" s="37"/>
      <c r="DTU65" s="37"/>
      <c r="DTV65" s="37"/>
      <c r="DTW65" s="37"/>
      <c r="DTX65" s="37"/>
      <c r="DTY65" s="37"/>
      <c r="DTZ65" s="37"/>
      <c r="DUA65" s="37"/>
      <c r="DUB65" s="37"/>
      <c r="DUC65" s="37"/>
      <c r="DUD65" s="37"/>
      <c r="DUE65" s="37"/>
      <c r="DUF65" s="37"/>
      <c r="DUG65" s="37"/>
      <c r="DUH65" s="37"/>
      <c r="DUI65" s="37"/>
      <c r="DUJ65" s="37"/>
      <c r="DUK65" s="37"/>
      <c r="DUL65" s="37"/>
      <c r="DUM65" s="37"/>
      <c r="DUN65" s="37"/>
      <c r="DUO65" s="37"/>
      <c r="DUP65" s="37"/>
      <c r="DUQ65" s="37"/>
      <c r="DUR65" s="37"/>
      <c r="DUS65" s="37"/>
      <c r="DUT65" s="37"/>
      <c r="DUU65" s="37"/>
      <c r="DUV65" s="37"/>
      <c r="DUW65" s="37"/>
      <c r="DUX65" s="37"/>
      <c r="DUY65" s="37"/>
      <c r="DUZ65" s="37"/>
      <c r="DVA65" s="37"/>
      <c r="DVB65" s="37"/>
      <c r="DVC65" s="37"/>
      <c r="DVD65" s="37"/>
      <c r="DVE65" s="37"/>
      <c r="DVF65" s="37"/>
      <c r="DVG65" s="37"/>
      <c r="DVH65" s="37"/>
      <c r="DVI65" s="37"/>
      <c r="DVJ65" s="37"/>
      <c r="DVK65" s="37"/>
      <c r="DVL65" s="37"/>
      <c r="DVM65" s="37"/>
      <c r="DVN65" s="37"/>
      <c r="DVO65" s="37"/>
      <c r="DVP65" s="37"/>
      <c r="DVQ65" s="37"/>
      <c r="DVR65" s="37"/>
      <c r="DVS65" s="37"/>
      <c r="DVT65" s="37"/>
      <c r="DVU65" s="37"/>
      <c r="DVV65" s="37"/>
      <c r="DVW65" s="37"/>
      <c r="DVX65" s="37"/>
      <c r="DVY65" s="37"/>
      <c r="DVZ65" s="37"/>
      <c r="DWA65" s="37"/>
      <c r="DWB65" s="37"/>
      <c r="DWC65" s="37"/>
      <c r="DWD65" s="37"/>
      <c r="DWE65" s="37"/>
      <c r="DWF65" s="37"/>
      <c r="DWG65" s="37"/>
      <c r="DWH65" s="37"/>
      <c r="DWI65" s="37"/>
      <c r="DWJ65" s="37"/>
      <c r="DWK65" s="37"/>
      <c r="DWL65" s="37"/>
      <c r="DWM65" s="37"/>
      <c r="DWN65" s="37"/>
      <c r="DWO65" s="37"/>
      <c r="DWP65" s="37"/>
      <c r="DWQ65" s="37"/>
      <c r="DWR65" s="37"/>
      <c r="DWS65" s="37"/>
      <c r="DWT65" s="37"/>
      <c r="DWU65" s="37"/>
      <c r="DWV65" s="37"/>
      <c r="DWW65" s="37"/>
      <c r="DWX65" s="37"/>
      <c r="DWY65" s="37"/>
      <c r="DWZ65" s="37"/>
      <c r="DXA65" s="37"/>
      <c r="DXB65" s="37"/>
      <c r="DXC65" s="37"/>
      <c r="DXD65" s="37"/>
      <c r="DXE65" s="37"/>
      <c r="DXF65" s="37"/>
      <c r="DXG65" s="37"/>
      <c r="DXH65" s="37"/>
      <c r="DXI65" s="37"/>
      <c r="DXJ65" s="37"/>
      <c r="DXK65" s="37"/>
      <c r="DXL65" s="37"/>
      <c r="DXM65" s="37"/>
      <c r="DXN65" s="37"/>
      <c r="DXO65" s="37"/>
      <c r="DXP65" s="37"/>
      <c r="DXQ65" s="37"/>
      <c r="DXR65" s="37"/>
      <c r="DXS65" s="37"/>
      <c r="DXT65" s="37"/>
      <c r="DXU65" s="37"/>
      <c r="DXV65" s="37"/>
      <c r="DXW65" s="37"/>
      <c r="DXX65" s="37"/>
      <c r="DXY65" s="37"/>
      <c r="DXZ65" s="37"/>
      <c r="DYA65" s="37"/>
      <c r="DYB65" s="37"/>
      <c r="DYC65" s="37"/>
      <c r="DYD65" s="37"/>
      <c r="DYE65" s="37"/>
      <c r="DYF65" s="37"/>
      <c r="DYG65" s="37"/>
      <c r="DYH65" s="37"/>
      <c r="DYI65" s="37"/>
      <c r="DYJ65" s="37"/>
      <c r="DYK65" s="37"/>
      <c r="DYL65" s="37"/>
      <c r="DYM65" s="37"/>
      <c r="DYN65" s="37"/>
      <c r="DYO65" s="37"/>
      <c r="DYP65" s="37"/>
      <c r="DYQ65" s="37"/>
      <c r="DYR65" s="37"/>
      <c r="DYS65" s="37"/>
      <c r="DYT65" s="37"/>
      <c r="DYU65" s="37"/>
      <c r="DYV65" s="37"/>
      <c r="DYW65" s="37"/>
      <c r="DYX65" s="37"/>
      <c r="DYY65" s="37"/>
      <c r="DYZ65" s="37"/>
      <c r="DZA65" s="37"/>
      <c r="DZB65" s="37"/>
      <c r="DZC65" s="37"/>
      <c r="DZD65" s="37"/>
      <c r="DZE65" s="37"/>
      <c r="DZF65" s="37"/>
      <c r="DZG65" s="37"/>
      <c r="DZH65" s="37"/>
      <c r="DZI65" s="37"/>
      <c r="DZJ65" s="37"/>
      <c r="DZK65" s="37"/>
      <c r="DZL65" s="37"/>
      <c r="DZM65" s="37"/>
      <c r="DZN65" s="37"/>
      <c r="DZO65" s="37"/>
      <c r="DZP65" s="37"/>
      <c r="DZQ65" s="37"/>
      <c r="DZR65" s="37"/>
      <c r="DZS65" s="37"/>
      <c r="DZT65" s="37"/>
      <c r="DZU65" s="37"/>
      <c r="DZV65" s="37"/>
      <c r="DZW65" s="37"/>
      <c r="DZX65" s="37"/>
      <c r="DZY65" s="37"/>
      <c r="DZZ65" s="37"/>
      <c r="EAA65" s="37"/>
      <c r="EAB65" s="37"/>
      <c r="EAC65" s="37"/>
      <c r="EAD65" s="37"/>
      <c r="EAE65" s="37"/>
      <c r="EAF65" s="37"/>
      <c r="EAG65" s="37"/>
      <c r="EAH65" s="37"/>
      <c r="EAI65" s="37"/>
      <c r="EAJ65" s="37"/>
      <c r="EAK65" s="37"/>
      <c r="EAL65" s="37"/>
      <c r="EAM65" s="37"/>
      <c r="EAN65" s="37"/>
      <c r="EAO65" s="37"/>
      <c r="EAP65" s="37"/>
      <c r="EAQ65" s="37"/>
      <c r="EAR65" s="37"/>
      <c r="EAS65" s="37"/>
      <c r="EAT65" s="37"/>
      <c r="EAU65" s="37"/>
      <c r="EAV65" s="37"/>
      <c r="EAW65" s="37"/>
      <c r="EAX65" s="37"/>
      <c r="EAY65" s="37"/>
      <c r="EAZ65" s="37"/>
      <c r="EBA65" s="37"/>
      <c r="EBB65" s="37"/>
      <c r="EBC65" s="37"/>
      <c r="EBD65" s="37"/>
      <c r="EBE65" s="37"/>
      <c r="EBF65" s="37"/>
      <c r="EBG65" s="37"/>
      <c r="EBH65" s="37"/>
      <c r="EBI65" s="37"/>
      <c r="EBJ65" s="37"/>
      <c r="EBK65" s="37"/>
      <c r="EBL65" s="37"/>
      <c r="EBM65" s="37"/>
      <c r="EBN65" s="37"/>
      <c r="EBO65" s="37"/>
      <c r="EBP65" s="37"/>
      <c r="EBQ65" s="37"/>
      <c r="EBR65" s="37"/>
      <c r="EBS65" s="37"/>
      <c r="EBT65" s="37"/>
      <c r="EBU65" s="37"/>
      <c r="EBV65" s="37"/>
      <c r="EBW65" s="37"/>
      <c r="EBX65" s="37"/>
      <c r="EBY65" s="37"/>
      <c r="EBZ65" s="37"/>
      <c r="ECA65" s="37"/>
      <c r="ECB65" s="37"/>
      <c r="ECC65" s="37"/>
      <c r="ECD65" s="37"/>
      <c r="ECE65" s="37"/>
      <c r="ECF65" s="37"/>
      <c r="ECG65" s="37"/>
      <c r="ECH65" s="37"/>
      <c r="ECI65" s="37"/>
      <c r="ECJ65" s="37"/>
      <c r="ECK65" s="37"/>
      <c r="ECL65" s="37"/>
      <c r="ECM65" s="37"/>
      <c r="ECN65" s="37"/>
      <c r="ECO65" s="37"/>
      <c r="ECP65" s="37"/>
      <c r="ECQ65" s="37"/>
      <c r="ECR65" s="37"/>
      <c r="ECS65" s="37"/>
      <c r="ECT65" s="37"/>
      <c r="ECU65" s="37"/>
      <c r="ECV65" s="37"/>
      <c r="ECW65" s="37"/>
      <c r="ECX65" s="37"/>
      <c r="ECY65" s="37"/>
      <c r="ECZ65" s="37"/>
      <c r="EDA65" s="37"/>
      <c r="EDB65" s="37"/>
      <c r="EDC65" s="37"/>
      <c r="EDD65" s="37"/>
      <c r="EDE65" s="37"/>
      <c r="EDF65" s="37"/>
      <c r="EDG65" s="37"/>
      <c r="EDH65" s="37"/>
      <c r="EDI65" s="37"/>
      <c r="EDJ65" s="37"/>
      <c r="EDK65" s="37"/>
      <c r="EDL65" s="37"/>
      <c r="EDM65" s="37"/>
      <c r="EDN65" s="37"/>
      <c r="EDO65" s="37"/>
      <c r="EDP65" s="37"/>
      <c r="EDQ65" s="37"/>
      <c r="EDR65" s="37"/>
      <c r="EDS65" s="37"/>
      <c r="EDT65" s="37"/>
      <c r="EDU65" s="37"/>
      <c r="EDV65" s="37"/>
      <c r="EDW65" s="37"/>
      <c r="EDX65" s="37"/>
      <c r="EDY65" s="37"/>
      <c r="EDZ65" s="37"/>
      <c r="EEA65" s="37"/>
      <c r="EEB65" s="37"/>
      <c r="EEC65" s="37"/>
      <c r="EED65" s="37"/>
      <c r="EEE65" s="37"/>
      <c r="EEF65" s="37"/>
      <c r="EEG65" s="37"/>
      <c r="EEH65" s="37"/>
      <c r="EEI65" s="37"/>
      <c r="EEJ65" s="37"/>
      <c r="EEK65" s="37"/>
      <c r="EEL65" s="37"/>
      <c r="EEM65" s="37"/>
      <c r="EEN65" s="37"/>
      <c r="EEO65" s="37"/>
      <c r="EEP65" s="37"/>
      <c r="EEQ65" s="37"/>
      <c r="EER65" s="37"/>
      <c r="EES65" s="37"/>
      <c r="EET65" s="37"/>
      <c r="EEU65" s="37"/>
      <c r="EEV65" s="37"/>
      <c r="EEW65" s="37"/>
      <c r="EEX65" s="37"/>
      <c r="EEY65" s="37"/>
      <c r="EEZ65" s="37"/>
      <c r="EFA65" s="37"/>
      <c r="EFB65" s="37"/>
      <c r="EFC65" s="37"/>
      <c r="EFD65" s="37"/>
      <c r="EFE65" s="37"/>
      <c r="EFF65" s="37"/>
      <c r="EFG65" s="37"/>
      <c r="EFH65" s="37"/>
      <c r="EFI65" s="37"/>
      <c r="EFJ65" s="37"/>
      <c r="EFK65" s="37"/>
      <c r="EFL65" s="37"/>
      <c r="EFM65" s="37"/>
      <c r="EFN65" s="37"/>
      <c r="EFO65" s="37"/>
      <c r="EFP65" s="37"/>
      <c r="EFQ65" s="37"/>
      <c r="EFR65" s="37"/>
      <c r="EFS65" s="37"/>
      <c r="EFT65" s="37"/>
      <c r="EFU65" s="37"/>
      <c r="EFV65" s="37"/>
      <c r="EFW65" s="37"/>
      <c r="EFX65" s="37"/>
      <c r="EFY65" s="37"/>
      <c r="EFZ65" s="37"/>
      <c r="EGA65" s="37"/>
      <c r="EGB65" s="37"/>
      <c r="EGC65" s="37"/>
      <c r="EGD65" s="37"/>
      <c r="EGE65" s="37"/>
      <c r="EGF65" s="37"/>
      <c r="EGG65" s="37"/>
      <c r="EGH65" s="37"/>
      <c r="EGI65" s="37"/>
      <c r="EGJ65" s="37"/>
      <c r="EGK65" s="37"/>
      <c r="EGL65" s="37"/>
      <c r="EGM65" s="37"/>
      <c r="EGN65" s="37"/>
      <c r="EGO65" s="37"/>
      <c r="EGP65" s="37"/>
      <c r="EGQ65" s="37"/>
      <c r="EGR65" s="37"/>
      <c r="EGS65" s="37"/>
      <c r="EGT65" s="37"/>
      <c r="EGU65" s="37"/>
      <c r="EGV65" s="37"/>
      <c r="EGW65" s="37"/>
      <c r="EGX65" s="37"/>
      <c r="EGY65" s="37"/>
      <c r="EGZ65" s="37"/>
      <c r="EHA65" s="37"/>
      <c r="EHB65" s="37"/>
      <c r="EHC65" s="37"/>
      <c r="EHD65" s="37"/>
      <c r="EHE65" s="37"/>
      <c r="EHF65" s="37"/>
      <c r="EHG65" s="37"/>
      <c r="EHH65" s="37"/>
      <c r="EHI65" s="37"/>
      <c r="EHJ65" s="37"/>
      <c r="EHK65" s="37"/>
      <c r="EHL65" s="37"/>
      <c r="EHM65" s="37"/>
      <c r="EHN65" s="37"/>
      <c r="EHO65" s="37"/>
      <c r="EHP65" s="37"/>
      <c r="EHQ65" s="37"/>
      <c r="EHR65" s="37"/>
      <c r="EHS65" s="37"/>
      <c r="EHT65" s="37"/>
      <c r="EHU65" s="37"/>
      <c r="EHV65" s="37"/>
      <c r="EHW65" s="37"/>
      <c r="EHX65" s="37"/>
      <c r="EHY65" s="37"/>
      <c r="EHZ65" s="37"/>
      <c r="EIA65" s="37"/>
      <c r="EIB65" s="37"/>
      <c r="EIC65" s="37"/>
      <c r="EID65" s="37"/>
      <c r="EIE65" s="37"/>
      <c r="EIF65" s="37"/>
      <c r="EIG65" s="37"/>
      <c r="EIH65" s="37"/>
      <c r="EII65" s="37"/>
      <c r="EIJ65" s="37"/>
      <c r="EIK65" s="37"/>
      <c r="EIL65" s="37"/>
      <c r="EIM65" s="37"/>
      <c r="EIN65" s="37"/>
      <c r="EIO65" s="37"/>
      <c r="EIP65" s="37"/>
      <c r="EIQ65" s="37"/>
      <c r="EIR65" s="37"/>
      <c r="EIS65" s="37"/>
      <c r="EIT65" s="37"/>
      <c r="EIU65" s="37"/>
      <c r="EIV65" s="37"/>
      <c r="EIW65" s="37"/>
      <c r="EIX65" s="37"/>
      <c r="EIY65" s="37"/>
      <c r="EIZ65" s="37"/>
      <c r="EJA65" s="37"/>
      <c r="EJB65" s="37"/>
      <c r="EJC65" s="37"/>
      <c r="EJD65" s="37"/>
      <c r="EJE65" s="37"/>
      <c r="EJF65" s="37"/>
      <c r="EJG65" s="37"/>
      <c r="EJH65" s="37"/>
      <c r="EJI65" s="37"/>
      <c r="EJJ65" s="37"/>
      <c r="EJK65" s="37"/>
      <c r="EJL65" s="37"/>
      <c r="EJM65" s="37"/>
      <c r="EJN65" s="37"/>
      <c r="EJO65" s="37"/>
      <c r="EJP65" s="37"/>
      <c r="EJQ65" s="37"/>
      <c r="EJR65" s="37"/>
      <c r="EJS65" s="37"/>
      <c r="EJT65" s="37"/>
      <c r="EJU65" s="37"/>
      <c r="EJV65" s="37"/>
      <c r="EJW65" s="37"/>
      <c r="EJX65" s="37"/>
      <c r="EJY65" s="37"/>
      <c r="EJZ65" s="37"/>
      <c r="EKA65" s="37"/>
      <c r="EKB65" s="37"/>
      <c r="EKC65" s="37"/>
      <c r="EKD65" s="37"/>
      <c r="EKE65" s="37"/>
      <c r="EKF65" s="37"/>
      <c r="EKG65" s="37"/>
      <c r="EKH65" s="37"/>
      <c r="EKI65" s="37"/>
      <c r="EKJ65" s="37"/>
      <c r="EKK65" s="37"/>
      <c r="EKL65" s="37"/>
      <c r="EKM65" s="37"/>
      <c r="EKN65" s="37"/>
      <c r="EKO65" s="37"/>
      <c r="EKP65" s="37"/>
      <c r="EKQ65" s="37"/>
      <c r="EKR65" s="37"/>
      <c r="EKS65" s="37"/>
      <c r="EKT65" s="37"/>
      <c r="EKU65" s="37"/>
      <c r="EKV65" s="37"/>
      <c r="EKW65" s="37"/>
      <c r="EKX65" s="37"/>
      <c r="EKY65" s="37"/>
      <c r="EKZ65" s="37"/>
      <c r="ELA65" s="37"/>
      <c r="ELB65" s="37"/>
      <c r="ELC65" s="37"/>
      <c r="ELD65" s="37"/>
      <c r="ELE65" s="37"/>
      <c r="ELF65" s="37"/>
      <c r="ELG65" s="37"/>
      <c r="ELH65" s="37"/>
      <c r="ELI65" s="37"/>
      <c r="ELJ65" s="37"/>
      <c r="ELK65" s="37"/>
      <c r="ELL65" s="37"/>
      <c r="ELM65" s="37"/>
      <c r="ELN65" s="37"/>
      <c r="ELO65" s="37"/>
      <c r="ELP65" s="37"/>
      <c r="ELQ65" s="37"/>
      <c r="ELR65" s="37"/>
      <c r="ELS65" s="37"/>
      <c r="ELT65" s="37"/>
      <c r="ELU65" s="37"/>
      <c r="ELV65" s="37"/>
      <c r="ELW65" s="37"/>
      <c r="ELX65" s="37"/>
      <c r="ELY65" s="37"/>
      <c r="ELZ65" s="37"/>
      <c r="EMA65" s="37"/>
      <c r="EMB65" s="37"/>
      <c r="EMC65" s="37"/>
      <c r="EMD65" s="37"/>
      <c r="EME65" s="37"/>
      <c r="EMF65" s="37"/>
      <c r="EMG65" s="37"/>
      <c r="EMH65" s="37"/>
      <c r="EMI65" s="37"/>
      <c r="EMJ65" s="37"/>
      <c r="EMK65" s="37"/>
      <c r="EML65" s="37"/>
      <c r="EMM65" s="37"/>
      <c r="EMN65" s="37"/>
      <c r="EMO65" s="37"/>
      <c r="EMP65" s="37"/>
      <c r="EMQ65" s="37"/>
      <c r="EMR65" s="37"/>
      <c r="EMS65" s="37"/>
      <c r="EMT65" s="37"/>
      <c r="EMU65" s="37"/>
      <c r="EMV65" s="37"/>
      <c r="EMW65" s="37"/>
      <c r="EMX65" s="37"/>
      <c r="EMY65" s="37"/>
      <c r="EMZ65" s="37"/>
      <c r="ENA65" s="37"/>
      <c r="ENB65" s="37"/>
      <c r="ENC65" s="37"/>
      <c r="END65" s="37"/>
      <c r="ENE65" s="37"/>
      <c r="ENF65" s="37"/>
      <c r="ENG65" s="37"/>
      <c r="ENH65" s="37"/>
      <c r="ENI65" s="37"/>
      <c r="ENJ65" s="37"/>
      <c r="ENK65" s="37"/>
      <c r="ENL65" s="37"/>
      <c r="ENM65" s="37"/>
      <c r="ENN65" s="37"/>
      <c r="ENO65" s="37"/>
      <c r="ENP65" s="37"/>
      <c r="ENQ65" s="37"/>
      <c r="ENR65" s="37"/>
      <c r="ENS65" s="37"/>
      <c r="ENT65" s="37"/>
      <c r="ENU65" s="37"/>
      <c r="ENV65" s="37"/>
      <c r="ENW65" s="37"/>
      <c r="ENX65" s="37"/>
      <c r="ENY65" s="37"/>
      <c r="ENZ65" s="37"/>
      <c r="EOA65" s="37"/>
      <c r="EOB65" s="37"/>
      <c r="EOC65" s="37"/>
      <c r="EOD65" s="37"/>
      <c r="EOE65" s="37"/>
      <c r="EOF65" s="37"/>
      <c r="EOG65" s="37"/>
      <c r="EOH65" s="37"/>
      <c r="EOI65" s="37"/>
      <c r="EOJ65" s="37"/>
      <c r="EOK65" s="37"/>
      <c r="EOL65" s="37"/>
      <c r="EOM65" s="37"/>
      <c r="EON65" s="37"/>
      <c r="EOO65" s="37"/>
      <c r="EOP65" s="37"/>
      <c r="EOQ65" s="37"/>
      <c r="EOR65" s="37"/>
      <c r="EOS65" s="37"/>
      <c r="EOT65" s="37"/>
      <c r="EOU65" s="37"/>
      <c r="EOV65" s="37"/>
      <c r="EOW65" s="37"/>
      <c r="EOX65" s="37"/>
      <c r="EOY65" s="37"/>
      <c r="EOZ65" s="37"/>
      <c r="EPA65" s="37"/>
      <c r="EPB65" s="37"/>
      <c r="EPC65" s="37"/>
      <c r="EPD65" s="37"/>
      <c r="EPE65" s="37"/>
      <c r="EPF65" s="37"/>
      <c r="EPG65" s="37"/>
      <c r="EPH65" s="37"/>
      <c r="EPI65" s="37"/>
      <c r="EPJ65" s="37"/>
      <c r="EPK65" s="37"/>
      <c r="EPL65" s="37"/>
      <c r="EPM65" s="37"/>
      <c r="EPN65" s="37"/>
      <c r="EPO65" s="37"/>
      <c r="EPP65" s="37"/>
      <c r="EPQ65" s="37"/>
      <c r="EPR65" s="37"/>
      <c r="EPS65" s="37"/>
      <c r="EPT65" s="37"/>
      <c r="EPU65" s="37"/>
      <c r="EPV65" s="37"/>
      <c r="EPW65" s="37"/>
      <c r="EPX65" s="37"/>
      <c r="EPY65" s="37"/>
      <c r="EPZ65" s="37"/>
      <c r="EQA65" s="37"/>
      <c r="EQB65" s="37"/>
      <c r="EQC65" s="37"/>
      <c r="EQD65" s="37"/>
      <c r="EQE65" s="37"/>
      <c r="EQF65" s="37"/>
      <c r="EQG65" s="37"/>
      <c r="EQH65" s="37"/>
      <c r="EQI65" s="37"/>
      <c r="EQJ65" s="37"/>
      <c r="EQK65" s="37"/>
      <c r="EQL65" s="37"/>
      <c r="EQM65" s="37"/>
      <c r="EQN65" s="37"/>
      <c r="EQO65" s="37"/>
      <c r="EQP65" s="37"/>
      <c r="EQQ65" s="37"/>
      <c r="EQR65" s="37"/>
      <c r="EQS65" s="37"/>
      <c r="EQT65" s="37"/>
      <c r="EQU65" s="37"/>
      <c r="EQV65" s="37"/>
      <c r="EQW65" s="37"/>
      <c r="EQX65" s="37"/>
      <c r="EQY65" s="37"/>
      <c r="EQZ65" s="37"/>
      <c r="ERA65" s="37"/>
      <c r="ERB65" s="37"/>
      <c r="ERC65" s="37"/>
      <c r="ERD65" s="37"/>
      <c r="ERE65" s="37"/>
      <c r="ERF65" s="37"/>
      <c r="ERG65" s="37"/>
      <c r="ERH65" s="37"/>
      <c r="ERI65" s="37"/>
      <c r="ERJ65" s="37"/>
      <c r="ERK65" s="37"/>
      <c r="ERL65" s="37"/>
      <c r="ERM65" s="37"/>
      <c r="ERN65" s="37"/>
      <c r="ERO65" s="37"/>
      <c r="ERP65" s="37"/>
      <c r="ERQ65" s="37"/>
      <c r="ERR65" s="37"/>
      <c r="ERS65" s="37"/>
      <c r="ERT65" s="37"/>
      <c r="ERU65" s="37"/>
      <c r="ERV65" s="37"/>
      <c r="ERW65" s="37"/>
      <c r="ERX65" s="37"/>
      <c r="ERY65" s="37"/>
      <c r="ERZ65" s="37"/>
      <c r="ESA65" s="37"/>
      <c r="ESB65" s="37"/>
      <c r="ESC65" s="37"/>
      <c r="ESD65" s="37"/>
      <c r="ESE65" s="37"/>
      <c r="ESF65" s="37"/>
      <c r="ESG65" s="37"/>
      <c r="ESH65" s="37"/>
      <c r="ESI65" s="37"/>
      <c r="ESJ65" s="37"/>
      <c r="ESK65" s="37"/>
      <c r="ESL65" s="37"/>
      <c r="ESM65" s="37"/>
      <c r="ESN65" s="37"/>
      <c r="ESO65" s="37"/>
      <c r="ESP65" s="37"/>
      <c r="ESQ65" s="37"/>
      <c r="ESR65" s="37"/>
      <c r="ESS65" s="37"/>
      <c r="EST65" s="37"/>
      <c r="ESU65" s="37"/>
      <c r="ESV65" s="37"/>
      <c r="ESW65" s="37"/>
      <c r="ESX65" s="37"/>
      <c r="ESY65" s="37"/>
      <c r="ESZ65" s="37"/>
      <c r="ETA65" s="37"/>
      <c r="ETB65" s="37"/>
      <c r="ETC65" s="37"/>
      <c r="ETD65" s="37"/>
      <c r="ETE65" s="37"/>
      <c r="ETF65" s="37"/>
      <c r="ETG65" s="37"/>
      <c r="ETH65" s="37"/>
      <c r="ETI65" s="37"/>
      <c r="ETJ65" s="37"/>
      <c r="ETK65" s="37"/>
      <c r="ETL65" s="37"/>
      <c r="ETM65" s="37"/>
      <c r="ETN65" s="37"/>
      <c r="ETO65" s="37"/>
      <c r="ETP65" s="37"/>
      <c r="ETQ65" s="37"/>
      <c r="ETR65" s="37"/>
      <c r="ETS65" s="37"/>
      <c r="ETT65" s="37"/>
      <c r="ETU65" s="37"/>
      <c r="ETV65" s="37"/>
      <c r="ETW65" s="37"/>
      <c r="ETX65" s="37"/>
      <c r="ETY65" s="37"/>
      <c r="ETZ65" s="37"/>
      <c r="EUA65" s="37"/>
      <c r="EUB65" s="37"/>
      <c r="EUC65" s="37"/>
      <c r="EUD65" s="37"/>
      <c r="EUE65" s="37"/>
      <c r="EUF65" s="37"/>
      <c r="EUG65" s="37"/>
      <c r="EUH65" s="37"/>
      <c r="EUI65" s="37"/>
      <c r="EUJ65" s="37"/>
      <c r="EUK65" s="37"/>
      <c r="EUL65" s="37"/>
      <c r="EUM65" s="37"/>
      <c r="EUN65" s="37"/>
      <c r="EUO65" s="37"/>
      <c r="EUP65" s="37"/>
      <c r="EUQ65" s="37"/>
      <c r="EUR65" s="37"/>
      <c r="EUS65" s="37"/>
      <c r="EUT65" s="37"/>
      <c r="EUU65" s="37"/>
      <c r="EUV65" s="37"/>
      <c r="EUW65" s="37"/>
      <c r="EUX65" s="37"/>
      <c r="EUY65" s="37"/>
      <c r="EUZ65" s="37"/>
      <c r="EVA65" s="37"/>
      <c r="EVB65" s="37"/>
      <c r="EVC65" s="37"/>
      <c r="EVD65" s="37"/>
      <c r="EVE65" s="37"/>
      <c r="EVF65" s="37"/>
      <c r="EVG65" s="37"/>
      <c r="EVH65" s="37"/>
      <c r="EVI65" s="37"/>
      <c r="EVJ65" s="37"/>
      <c r="EVK65" s="37"/>
      <c r="EVL65" s="37"/>
      <c r="EVM65" s="37"/>
      <c r="EVN65" s="37"/>
      <c r="EVO65" s="37"/>
      <c r="EVP65" s="37"/>
      <c r="EVQ65" s="37"/>
      <c r="EVR65" s="37"/>
      <c r="EVS65" s="37"/>
      <c r="EVT65" s="37"/>
      <c r="EVU65" s="37"/>
      <c r="EVV65" s="37"/>
      <c r="EVW65" s="37"/>
      <c r="EVX65" s="37"/>
      <c r="EVY65" s="37"/>
      <c r="EVZ65" s="37"/>
      <c r="EWA65" s="37"/>
      <c r="EWB65" s="37"/>
      <c r="EWC65" s="37"/>
      <c r="EWD65" s="37"/>
      <c r="EWE65" s="37"/>
      <c r="EWF65" s="37"/>
      <c r="EWG65" s="37"/>
      <c r="EWH65" s="37"/>
      <c r="EWI65" s="37"/>
      <c r="EWJ65" s="37"/>
      <c r="EWK65" s="37"/>
      <c r="EWL65" s="37"/>
      <c r="EWM65" s="37"/>
      <c r="EWN65" s="37"/>
      <c r="EWO65" s="37"/>
      <c r="EWP65" s="37"/>
      <c r="EWQ65" s="37"/>
      <c r="EWR65" s="37"/>
      <c r="EWS65" s="37"/>
      <c r="EWT65" s="37"/>
      <c r="EWU65" s="37"/>
      <c r="EWV65" s="37"/>
      <c r="EWW65" s="37"/>
      <c r="EWX65" s="37"/>
      <c r="EWY65" s="37"/>
      <c r="EWZ65" s="37"/>
      <c r="EXA65" s="37"/>
      <c r="EXB65" s="37"/>
      <c r="EXC65" s="37"/>
      <c r="EXD65" s="37"/>
      <c r="EXE65" s="37"/>
      <c r="EXF65" s="37"/>
      <c r="EXG65" s="37"/>
      <c r="EXH65" s="37"/>
      <c r="EXI65" s="37"/>
      <c r="EXJ65" s="37"/>
      <c r="EXK65" s="37"/>
      <c r="EXL65" s="37"/>
      <c r="EXM65" s="37"/>
      <c r="EXN65" s="37"/>
      <c r="EXO65" s="37"/>
      <c r="EXP65" s="37"/>
      <c r="EXQ65" s="37"/>
      <c r="EXR65" s="37"/>
      <c r="EXS65" s="37"/>
      <c r="EXT65" s="37"/>
      <c r="EXU65" s="37"/>
      <c r="EXV65" s="37"/>
      <c r="EXW65" s="37"/>
      <c r="EXX65" s="37"/>
      <c r="EXY65" s="37"/>
      <c r="EXZ65" s="37"/>
      <c r="EYA65" s="37"/>
      <c r="EYB65" s="37"/>
      <c r="EYC65" s="37"/>
      <c r="EYD65" s="37"/>
      <c r="EYE65" s="37"/>
      <c r="EYF65" s="37"/>
      <c r="EYG65" s="37"/>
      <c r="EYH65" s="37"/>
      <c r="EYI65" s="37"/>
      <c r="EYJ65" s="37"/>
      <c r="EYK65" s="37"/>
      <c r="EYL65" s="37"/>
      <c r="EYM65" s="37"/>
      <c r="EYN65" s="37"/>
      <c r="EYO65" s="37"/>
      <c r="EYP65" s="37"/>
      <c r="EYQ65" s="37"/>
      <c r="EYR65" s="37"/>
      <c r="EYS65" s="37"/>
      <c r="EYT65" s="37"/>
      <c r="EYU65" s="37"/>
      <c r="EYV65" s="37"/>
      <c r="EYW65" s="37"/>
      <c r="EYX65" s="37"/>
      <c r="EYY65" s="37"/>
      <c r="EYZ65" s="37"/>
      <c r="EZA65" s="37"/>
      <c r="EZB65" s="37"/>
      <c r="EZC65" s="37"/>
      <c r="EZD65" s="37"/>
      <c r="EZE65" s="37"/>
      <c r="EZF65" s="37"/>
      <c r="EZG65" s="37"/>
      <c r="EZH65" s="37"/>
      <c r="EZI65" s="37"/>
      <c r="EZJ65" s="37"/>
      <c r="EZK65" s="37"/>
      <c r="EZL65" s="37"/>
      <c r="EZM65" s="37"/>
      <c r="EZN65" s="37"/>
      <c r="EZO65" s="37"/>
      <c r="EZP65" s="37"/>
      <c r="EZQ65" s="37"/>
      <c r="EZR65" s="37"/>
      <c r="EZS65" s="37"/>
      <c r="EZT65" s="37"/>
      <c r="EZU65" s="37"/>
      <c r="EZV65" s="37"/>
      <c r="EZW65" s="37"/>
      <c r="EZX65" s="37"/>
      <c r="EZY65" s="37"/>
      <c r="EZZ65" s="37"/>
      <c r="FAA65" s="37"/>
      <c r="FAB65" s="37"/>
      <c r="FAC65" s="37"/>
      <c r="FAD65" s="37"/>
      <c r="FAE65" s="37"/>
      <c r="FAF65" s="37"/>
      <c r="FAG65" s="37"/>
      <c r="FAH65" s="37"/>
      <c r="FAI65" s="37"/>
      <c r="FAJ65" s="37"/>
      <c r="FAK65" s="37"/>
      <c r="FAL65" s="37"/>
      <c r="FAM65" s="37"/>
      <c r="FAN65" s="37"/>
      <c r="FAO65" s="37"/>
      <c r="FAP65" s="37"/>
      <c r="FAQ65" s="37"/>
      <c r="FAR65" s="37"/>
      <c r="FAS65" s="37"/>
      <c r="FAT65" s="37"/>
      <c r="FAU65" s="37"/>
      <c r="FAV65" s="37"/>
      <c r="FAW65" s="37"/>
      <c r="FAX65" s="37"/>
      <c r="FAY65" s="37"/>
      <c r="FAZ65" s="37"/>
      <c r="FBA65" s="37"/>
      <c r="FBB65" s="37"/>
      <c r="FBC65" s="37"/>
      <c r="FBD65" s="37"/>
      <c r="FBE65" s="37"/>
      <c r="FBF65" s="37"/>
      <c r="FBG65" s="37"/>
      <c r="FBH65" s="37"/>
      <c r="FBI65" s="37"/>
      <c r="FBJ65" s="37"/>
      <c r="FBK65" s="37"/>
      <c r="FBL65" s="37"/>
      <c r="FBM65" s="37"/>
      <c r="FBN65" s="37"/>
      <c r="FBO65" s="37"/>
      <c r="FBP65" s="37"/>
      <c r="FBQ65" s="37"/>
      <c r="FBR65" s="37"/>
      <c r="FBS65" s="37"/>
      <c r="FBT65" s="37"/>
      <c r="FBU65" s="37"/>
      <c r="FBV65" s="37"/>
      <c r="FBW65" s="37"/>
      <c r="FBX65" s="37"/>
      <c r="FBY65" s="37"/>
      <c r="FBZ65" s="37"/>
      <c r="FCA65" s="37"/>
      <c r="FCB65" s="37"/>
      <c r="FCC65" s="37"/>
      <c r="FCD65" s="37"/>
      <c r="FCE65" s="37"/>
      <c r="FCF65" s="37"/>
      <c r="FCG65" s="37"/>
      <c r="FCH65" s="37"/>
      <c r="FCI65" s="37"/>
      <c r="FCJ65" s="37"/>
      <c r="FCK65" s="37"/>
      <c r="FCL65" s="37"/>
      <c r="FCM65" s="37"/>
      <c r="FCN65" s="37"/>
      <c r="FCO65" s="37"/>
      <c r="FCP65" s="37"/>
      <c r="FCQ65" s="37"/>
      <c r="FCR65" s="37"/>
      <c r="FCS65" s="37"/>
      <c r="FCT65" s="37"/>
      <c r="FCU65" s="37"/>
      <c r="FCV65" s="37"/>
      <c r="FCW65" s="37"/>
      <c r="FCX65" s="37"/>
      <c r="FCY65" s="37"/>
      <c r="FCZ65" s="37"/>
      <c r="FDA65" s="37"/>
      <c r="FDB65" s="37"/>
      <c r="FDC65" s="37"/>
      <c r="FDD65" s="37"/>
      <c r="FDE65" s="37"/>
      <c r="FDF65" s="37"/>
      <c r="FDG65" s="37"/>
      <c r="FDH65" s="37"/>
      <c r="FDI65" s="37"/>
      <c r="FDJ65" s="37"/>
      <c r="FDK65" s="37"/>
      <c r="FDL65" s="37"/>
      <c r="FDM65" s="37"/>
      <c r="FDN65" s="37"/>
      <c r="FDO65" s="37"/>
      <c r="FDP65" s="37"/>
      <c r="FDQ65" s="37"/>
      <c r="FDR65" s="37"/>
      <c r="FDS65" s="37"/>
      <c r="FDT65" s="37"/>
      <c r="FDU65" s="37"/>
      <c r="FDV65" s="37"/>
      <c r="FDW65" s="37"/>
      <c r="FDX65" s="37"/>
      <c r="FDY65" s="37"/>
      <c r="FDZ65" s="37"/>
      <c r="FEA65" s="37"/>
      <c r="FEB65" s="37"/>
      <c r="FEC65" s="37"/>
      <c r="FED65" s="37"/>
      <c r="FEE65" s="37"/>
      <c r="FEF65" s="37"/>
      <c r="FEG65" s="37"/>
      <c r="FEH65" s="37"/>
      <c r="FEI65" s="37"/>
      <c r="FEJ65" s="37"/>
      <c r="FEK65" s="37"/>
      <c r="FEL65" s="37"/>
      <c r="FEM65" s="37"/>
      <c r="FEN65" s="37"/>
      <c r="FEO65" s="37"/>
      <c r="FEP65" s="37"/>
      <c r="FEQ65" s="37"/>
      <c r="FER65" s="37"/>
      <c r="FES65" s="37"/>
      <c r="FET65" s="37"/>
      <c r="FEU65" s="37"/>
      <c r="FEV65" s="37"/>
      <c r="FEW65" s="37"/>
      <c r="FEX65" s="37"/>
      <c r="FEY65" s="37"/>
      <c r="FEZ65" s="37"/>
      <c r="FFA65" s="37"/>
      <c r="FFB65" s="37"/>
      <c r="FFC65" s="37"/>
      <c r="FFD65" s="37"/>
      <c r="FFE65" s="37"/>
      <c r="FFF65" s="37"/>
      <c r="FFG65" s="37"/>
      <c r="FFH65" s="37"/>
      <c r="FFI65" s="37"/>
      <c r="FFJ65" s="37"/>
      <c r="FFK65" s="37"/>
      <c r="FFL65" s="37"/>
      <c r="FFM65" s="37"/>
      <c r="FFN65" s="37"/>
      <c r="FFO65" s="37"/>
      <c r="FFP65" s="37"/>
      <c r="FFQ65" s="37"/>
      <c r="FFR65" s="37"/>
      <c r="FFS65" s="37"/>
      <c r="FFT65" s="37"/>
      <c r="FFU65" s="37"/>
      <c r="FFV65" s="37"/>
      <c r="FFW65" s="37"/>
      <c r="FFX65" s="37"/>
      <c r="FFY65" s="37"/>
      <c r="FFZ65" s="37"/>
      <c r="FGA65" s="37"/>
      <c r="FGB65" s="37"/>
      <c r="FGC65" s="37"/>
      <c r="FGD65" s="37"/>
      <c r="FGE65" s="37"/>
      <c r="FGF65" s="37"/>
      <c r="FGG65" s="37"/>
      <c r="FGH65" s="37"/>
      <c r="FGI65" s="37"/>
      <c r="FGJ65" s="37"/>
      <c r="FGK65" s="37"/>
      <c r="FGL65" s="37"/>
      <c r="FGM65" s="37"/>
      <c r="FGN65" s="37"/>
      <c r="FGO65" s="37"/>
      <c r="FGP65" s="37"/>
      <c r="FGQ65" s="37"/>
      <c r="FGR65" s="37"/>
      <c r="FGS65" s="37"/>
      <c r="FGT65" s="37"/>
      <c r="FGU65" s="37"/>
      <c r="FGV65" s="37"/>
      <c r="FGW65" s="37"/>
      <c r="FGX65" s="37"/>
      <c r="FGY65" s="37"/>
      <c r="FGZ65" s="37"/>
      <c r="FHA65" s="37"/>
      <c r="FHB65" s="37"/>
      <c r="FHC65" s="37"/>
      <c r="FHD65" s="37"/>
      <c r="FHE65" s="37"/>
      <c r="FHF65" s="37"/>
      <c r="FHG65" s="37"/>
      <c r="FHH65" s="37"/>
      <c r="FHI65" s="37"/>
      <c r="FHJ65" s="37"/>
      <c r="FHK65" s="37"/>
      <c r="FHL65" s="37"/>
      <c r="FHM65" s="37"/>
      <c r="FHN65" s="37"/>
      <c r="FHO65" s="37"/>
      <c r="FHP65" s="37"/>
      <c r="FHQ65" s="37"/>
      <c r="FHR65" s="37"/>
      <c r="FHS65" s="37"/>
      <c r="FHT65" s="37"/>
      <c r="FHU65" s="37"/>
      <c r="FHV65" s="37"/>
      <c r="FHW65" s="37"/>
      <c r="FHX65" s="37"/>
      <c r="FHY65" s="37"/>
      <c r="FHZ65" s="37"/>
      <c r="FIA65" s="37"/>
      <c r="FIB65" s="37"/>
      <c r="FIC65" s="37"/>
      <c r="FID65" s="37"/>
      <c r="FIE65" s="37"/>
      <c r="FIF65" s="37"/>
      <c r="FIG65" s="37"/>
      <c r="FIH65" s="37"/>
      <c r="FII65" s="37"/>
      <c r="FIJ65" s="37"/>
      <c r="FIK65" s="37"/>
      <c r="FIL65" s="37"/>
      <c r="FIM65" s="37"/>
      <c r="FIN65" s="37"/>
      <c r="FIO65" s="37"/>
      <c r="FIP65" s="37"/>
      <c r="FIQ65" s="37"/>
      <c r="FIR65" s="37"/>
      <c r="FIS65" s="37"/>
      <c r="FIT65" s="37"/>
      <c r="FIU65" s="37"/>
      <c r="FIV65" s="37"/>
      <c r="FIW65" s="37"/>
      <c r="FIX65" s="37"/>
      <c r="FIY65" s="37"/>
      <c r="FIZ65" s="37"/>
      <c r="FJA65" s="37"/>
      <c r="FJB65" s="37"/>
      <c r="FJC65" s="37"/>
      <c r="FJD65" s="37"/>
      <c r="FJE65" s="37"/>
      <c r="FJF65" s="37"/>
      <c r="FJG65" s="37"/>
      <c r="FJH65" s="37"/>
      <c r="FJI65" s="37"/>
      <c r="FJJ65" s="37"/>
      <c r="FJK65" s="37"/>
      <c r="FJL65" s="37"/>
      <c r="FJM65" s="37"/>
      <c r="FJN65" s="37"/>
      <c r="FJO65" s="37"/>
      <c r="FJP65" s="37"/>
      <c r="FJQ65" s="37"/>
      <c r="FJR65" s="37"/>
      <c r="FJS65" s="37"/>
      <c r="FJT65" s="37"/>
      <c r="FJU65" s="37"/>
      <c r="FJV65" s="37"/>
      <c r="FJW65" s="37"/>
      <c r="FJX65" s="37"/>
      <c r="FJY65" s="37"/>
      <c r="FJZ65" s="37"/>
      <c r="FKA65" s="37"/>
      <c r="FKB65" s="37"/>
      <c r="FKC65" s="37"/>
      <c r="FKD65" s="37"/>
      <c r="FKE65" s="37"/>
      <c r="FKF65" s="37"/>
      <c r="FKG65" s="37"/>
      <c r="FKH65" s="37"/>
      <c r="FKI65" s="37"/>
      <c r="FKJ65" s="37"/>
      <c r="FKK65" s="37"/>
      <c r="FKL65" s="37"/>
      <c r="FKM65" s="37"/>
      <c r="FKN65" s="37"/>
      <c r="FKO65" s="37"/>
      <c r="FKP65" s="37"/>
      <c r="FKQ65" s="37"/>
      <c r="FKR65" s="37"/>
      <c r="FKS65" s="37"/>
      <c r="FKT65" s="37"/>
      <c r="FKU65" s="37"/>
      <c r="FKV65" s="37"/>
      <c r="FKW65" s="37"/>
      <c r="FKX65" s="37"/>
      <c r="FKY65" s="37"/>
      <c r="FKZ65" s="37"/>
      <c r="FLA65" s="37"/>
      <c r="FLB65" s="37"/>
      <c r="FLC65" s="37"/>
      <c r="FLD65" s="37"/>
      <c r="FLE65" s="37"/>
      <c r="FLF65" s="37"/>
      <c r="FLG65" s="37"/>
      <c r="FLH65" s="37"/>
      <c r="FLI65" s="37"/>
      <c r="FLJ65" s="37"/>
      <c r="FLK65" s="37"/>
      <c r="FLL65" s="37"/>
      <c r="FLM65" s="37"/>
      <c r="FLN65" s="37"/>
      <c r="FLO65" s="37"/>
      <c r="FLP65" s="37"/>
      <c r="FLQ65" s="37"/>
      <c r="FLR65" s="37"/>
      <c r="FLS65" s="37"/>
      <c r="FLT65" s="37"/>
      <c r="FLU65" s="37"/>
      <c r="FLV65" s="37"/>
      <c r="FLW65" s="37"/>
      <c r="FLX65" s="37"/>
      <c r="FLY65" s="37"/>
      <c r="FLZ65" s="37"/>
      <c r="FMA65" s="37"/>
      <c r="FMB65" s="37"/>
      <c r="FMC65" s="37"/>
      <c r="FMD65" s="37"/>
      <c r="FME65" s="37"/>
      <c r="FMF65" s="37"/>
      <c r="FMG65" s="37"/>
      <c r="FMH65" s="37"/>
      <c r="FMI65" s="37"/>
      <c r="FMJ65" s="37"/>
      <c r="FMK65" s="37"/>
      <c r="FML65" s="37"/>
      <c r="FMM65" s="37"/>
      <c r="FMN65" s="37"/>
      <c r="FMO65" s="37"/>
      <c r="FMP65" s="37"/>
      <c r="FMQ65" s="37"/>
      <c r="FMR65" s="37"/>
      <c r="FMS65" s="37"/>
      <c r="FMT65" s="37"/>
      <c r="FMU65" s="37"/>
      <c r="FMV65" s="37"/>
      <c r="FMW65" s="37"/>
      <c r="FMX65" s="37"/>
      <c r="FMY65" s="37"/>
      <c r="FMZ65" s="37"/>
      <c r="FNA65" s="37"/>
      <c r="FNB65" s="37"/>
      <c r="FNC65" s="37"/>
      <c r="FND65" s="37"/>
      <c r="FNE65" s="37"/>
      <c r="FNF65" s="37"/>
      <c r="FNG65" s="37"/>
      <c r="FNH65" s="37"/>
      <c r="FNI65" s="37"/>
      <c r="FNJ65" s="37"/>
      <c r="FNK65" s="37"/>
      <c r="FNL65" s="37"/>
      <c r="FNM65" s="37"/>
      <c r="FNN65" s="37"/>
      <c r="FNO65" s="37"/>
      <c r="FNP65" s="37"/>
      <c r="FNQ65" s="37"/>
      <c r="FNR65" s="37"/>
      <c r="FNS65" s="37"/>
      <c r="FNT65" s="37"/>
      <c r="FNU65" s="37"/>
      <c r="FNV65" s="37"/>
      <c r="FNW65" s="37"/>
      <c r="FNX65" s="37"/>
      <c r="FNY65" s="37"/>
      <c r="FNZ65" s="37"/>
      <c r="FOA65" s="37"/>
      <c r="FOB65" s="37"/>
      <c r="FOC65" s="37"/>
      <c r="FOD65" s="37"/>
      <c r="FOE65" s="37"/>
      <c r="FOF65" s="37"/>
      <c r="FOG65" s="37"/>
      <c r="FOH65" s="37"/>
      <c r="FOI65" s="37"/>
      <c r="FOJ65" s="37"/>
      <c r="FOK65" s="37"/>
      <c r="FOL65" s="37"/>
      <c r="FOM65" s="37"/>
      <c r="FON65" s="37"/>
      <c r="FOO65" s="37"/>
      <c r="FOP65" s="37"/>
      <c r="FOQ65" s="37"/>
      <c r="FOR65" s="37"/>
      <c r="FOS65" s="37"/>
      <c r="FOT65" s="37"/>
      <c r="FOU65" s="37"/>
      <c r="FOV65" s="37"/>
      <c r="FOW65" s="37"/>
      <c r="FOX65" s="37"/>
      <c r="FOY65" s="37"/>
      <c r="FOZ65" s="37"/>
      <c r="FPA65" s="37"/>
      <c r="FPB65" s="37"/>
      <c r="FPC65" s="37"/>
      <c r="FPD65" s="37"/>
      <c r="FPE65" s="37"/>
      <c r="FPF65" s="37"/>
      <c r="FPG65" s="37"/>
      <c r="FPH65" s="37"/>
      <c r="FPI65" s="37"/>
      <c r="FPJ65" s="37"/>
      <c r="FPK65" s="37"/>
      <c r="FPL65" s="37"/>
      <c r="FPM65" s="37"/>
      <c r="FPN65" s="37"/>
      <c r="FPO65" s="37"/>
      <c r="FPP65" s="37"/>
      <c r="FPQ65" s="37"/>
      <c r="FPR65" s="37"/>
      <c r="FPS65" s="37"/>
      <c r="FPT65" s="37"/>
      <c r="FPU65" s="37"/>
      <c r="FPV65" s="37"/>
      <c r="FPW65" s="37"/>
      <c r="FPX65" s="37"/>
      <c r="FPY65" s="37"/>
      <c r="FPZ65" s="37"/>
      <c r="FQA65" s="37"/>
      <c r="FQB65" s="37"/>
      <c r="FQC65" s="37"/>
      <c r="FQD65" s="37"/>
      <c r="FQE65" s="37"/>
      <c r="FQF65" s="37"/>
      <c r="FQG65" s="37"/>
      <c r="FQH65" s="37"/>
      <c r="FQI65" s="37"/>
      <c r="FQJ65" s="37"/>
      <c r="FQK65" s="37"/>
      <c r="FQL65" s="37"/>
      <c r="FQM65" s="37"/>
      <c r="FQN65" s="37"/>
      <c r="FQO65" s="37"/>
      <c r="FQP65" s="37"/>
      <c r="FQQ65" s="37"/>
      <c r="FQR65" s="37"/>
      <c r="FQS65" s="37"/>
      <c r="FQT65" s="37"/>
      <c r="FQU65" s="37"/>
      <c r="FQV65" s="37"/>
      <c r="FQW65" s="37"/>
      <c r="FQX65" s="37"/>
      <c r="FQY65" s="37"/>
      <c r="FQZ65" s="37"/>
      <c r="FRA65" s="37"/>
      <c r="FRB65" s="37"/>
      <c r="FRC65" s="37"/>
      <c r="FRD65" s="37"/>
      <c r="FRE65" s="37"/>
      <c r="FRF65" s="37"/>
      <c r="FRG65" s="37"/>
      <c r="FRH65" s="37"/>
      <c r="FRI65" s="37"/>
      <c r="FRJ65" s="37"/>
      <c r="FRK65" s="37"/>
      <c r="FRL65" s="37"/>
      <c r="FRM65" s="37"/>
      <c r="FRN65" s="37"/>
      <c r="FRO65" s="37"/>
      <c r="FRP65" s="37"/>
      <c r="FRQ65" s="37"/>
      <c r="FRR65" s="37"/>
      <c r="FRS65" s="37"/>
      <c r="FRT65" s="37"/>
      <c r="FRU65" s="37"/>
      <c r="FRV65" s="37"/>
      <c r="FRW65" s="37"/>
      <c r="FRX65" s="37"/>
      <c r="FRY65" s="37"/>
      <c r="FRZ65" s="37"/>
      <c r="FSA65" s="37"/>
      <c r="FSB65" s="37"/>
      <c r="FSC65" s="37"/>
      <c r="FSD65" s="37"/>
      <c r="FSE65" s="37"/>
      <c r="FSF65" s="37"/>
      <c r="FSG65" s="37"/>
      <c r="FSH65" s="37"/>
      <c r="FSI65" s="37"/>
      <c r="FSJ65" s="37"/>
      <c r="FSK65" s="37"/>
      <c r="FSL65" s="37"/>
      <c r="FSM65" s="37"/>
      <c r="FSN65" s="37"/>
      <c r="FSO65" s="37"/>
      <c r="FSP65" s="37"/>
      <c r="FSQ65" s="37"/>
      <c r="FSR65" s="37"/>
      <c r="FSS65" s="37"/>
      <c r="FST65" s="37"/>
      <c r="FSU65" s="37"/>
      <c r="FSV65" s="37"/>
      <c r="FSW65" s="37"/>
      <c r="FSX65" s="37"/>
      <c r="FSY65" s="37"/>
      <c r="FSZ65" s="37"/>
      <c r="FTA65" s="37"/>
      <c r="FTB65" s="37"/>
      <c r="FTC65" s="37"/>
      <c r="FTD65" s="37"/>
      <c r="FTE65" s="37"/>
      <c r="FTF65" s="37"/>
      <c r="FTG65" s="37"/>
      <c r="FTH65" s="37"/>
      <c r="FTI65" s="37"/>
      <c r="FTJ65" s="37"/>
      <c r="FTK65" s="37"/>
      <c r="FTL65" s="37"/>
      <c r="FTM65" s="37"/>
      <c r="FTN65" s="37"/>
      <c r="FTO65" s="37"/>
      <c r="FTP65" s="37"/>
      <c r="FTQ65" s="37"/>
      <c r="FTR65" s="37"/>
      <c r="FTS65" s="37"/>
      <c r="FTT65" s="37"/>
      <c r="FTU65" s="37"/>
      <c r="FTV65" s="37"/>
      <c r="FTW65" s="37"/>
      <c r="FTX65" s="37"/>
      <c r="FTY65" s="37"/>
      <c r="FTZ65" s="37"/>
      <c r="FUA65" s="37"/>
      <c r="FUB65" s="37"/>
      <c r="FUC65" s="37"/>
      <c r="FUD65" s="37"/>
      <c r="FUE65" s="37"/>
      <c r="FUF65" s="37"/>
      <c r="FUG65" s="37"/>
      <c r="FUH65" s="37"/>
      <c r="FUI65" s="37"/>
      <c r="FUJ65" s="37"/>
      <c r="FUK65" s="37"/>
      <c r="FUL65" s="37"/>
      <c r="FUM65" s="37"/>
      <c r="FUN65" s="37"/>
      <c r="FUO65" s="37"/>
      <c r="FUP65" s="37"/>
      <c r="FUQ65" s="37"/>
      <c r="FUR65" s="37"/>
      <c r="FUS65" s="37"/>
      <c r="FUT65" s="37"/>
      <c r="FUU65" s="37"/>
      <c r="FUV65" s="37"/>
      <c r="FUW65" s="37"/>
      <c r="FUX65" s="37"/>
      <c r="FUY65" s="37"/>
      <c r="FUZ65" s="37"/>
      <c r="FVA65" s="37"/>
      <c r="FVB65" s="37"/>
      <c r="FVC65" s="37"/>
      <c r="FVD65" s="37"/>
      <c r="FVE65" s="37"/>
      <c r="FVF65" s="37"/>
      <c r="FVG65" s="37"/>
      <c r="FVH65" s="37"/>
      <c r="FVI65" s="37"/>
      <c r="FVJ65" s="37"/>
      <c r="FVK65" s="37"/>
      <c r="FVL65" s="37"/>
      <c r="FVM65" s="37"/>
      <c r="FVN65" s="37"/>
      <c r="FVO65" s="37"/>
      <c r="FVP65" s="37"/>
      <c r="FVQ65" s="37"/>
      <c r="FVR65" s="37"/>
      <c r="FVS65" s="37"/>
      <c r="FVT65" s="37"/>
      <c r="FVU65" s="37"/>
      <c r="FVV65" s="37"/>
      <c r="FVW65" s="37"/>
      <c r="FVX65" s="37"/>
      <c r="FVY65" s="37"/>
      <c r="FVZ65" s="37"/>
      <c r="FWA65" s="37"/>
      <c r="FWB65" s="37"/>
      <c r="FWC65" s="37"/>
      <c r="FWD65" s="37"/>
      <c r="FWE65" s="37"/>
      <c r="FWF65" s="37"/>
      <c r="FWG65" s="37"/>
      <c r="FWH65" s="37"/>
      <c r="FWI65" s="37"/>
      <c r="FWJ65" s="37"/>
      <c r="FWK65" s="37"/>
      <c r="FWL65" s="37"/>
      <c r="FWM65" s="37"/>
      <c r="FWN65" s="37"/>
      <c r="FWO65" s="37"/>
      <c r="FWP65" s="37"/>
      <c r="FWQ65" s="37"/>
      <c r="FWR65" s="37"/>
      <c r="FWS65" s="37"/>
      <c r="FWT65" s="37"/>
      <c r="FWU65" s="37"/>
      <c r="FWV65" s="37"/>
      <c r="FWW65" s="37"/>
      <c r="FWX65" s="37"/>
      <c r="FWY65" s="37"/>
      <c r="FWZ65" s="37"/>
      <c r="FXA65" s="37"/>
      <c r="FXB65" s="37"/>
      <c r="FXC65" s="37"/>
      <c r="FXD65" s="37"/>
      <c r="FXE65" s="37"/>
      <c r="FXF65" s="37"/>
      <c r="FXG65" s="37"/>
      <c r="FXH65" s="37"/>
      <c r="FXI65" s="37"/>
      <c r="FXJ65" s="37"/>
      <c r="FXK65" s="37"/>
      <c r="FXL65" s="37"/>
      <c r="FXM65" s="37"/>
      <c r="FXN65" s="37"/>
      <c r="FXO65" s="37"/>
      <c r="FXP65" s="37"/>
      <c r="FXQ65" s="37"/>
      <c r="FXR65" s="37"/>
      <c r="FXS65" s="37"/>
      <c r="FXT65" s="37"/>
      <c r="FXU65" s="37"/>
      <c r="FXV65" s="37"/>
      <c r="FXW65" s="37"/>
      <c r="FXX65" s="37"/>
      <c r="FXY65" s="37"/>
      <c r="FXZ65" s="37"/>
      <c r="FYA65" s="37"/>
      <c r="FYB65" s="37"/>
      <c r="FYC65" s="37"/>
      <c r="FYD65" s="37"/>
      <c r="FYE65" s="37"/>
      <c r="FYF65" s="37"/>
      <c r="FYG65" s="37"/>
      <c r="FYH65" s="37"/>
      <c r="FYI65" s="37"/>
      <c r="FYJ65" s="37"/>
      <c r="FYK65" s="37"/>
      <c r="FYL65" s="37"/>
      <c r="FYM65" s="37"/>
      <c r="FYN65" s="37"/>
      <c r="FYO65" s="37"/>
      <c r="FYP65" s="37"/>
      <c r="FYQ65" s="37"/>
      <c r="FYR65" s="37"/>
      <c r="FYS65" s="37"/>
      <c r="FYT65" s="37"/>
      <c r="FYU65" s="37"/>
      <c r="FYV65" s="37"/>
      <c r="FYW65" s="37"/>
      <c r="FYX65" s="37"/>
      <c r="FYY65" s="37"/>
      <c r="FYZ65" s="37"/>
      <c r="FZA65" s="37"/>
      <c r="FZB65" s="37"/>
      <c r="FZC65" s="37"/>
      <c r="FZD65" s="37"/>
      <c r="FZE65" s="37"/>
      <c r="FZF65" s="37"/>
      <c r="FZG65" s="37"/>
      <c r="FZH65" s="37"/>
      <c r="FZI65" s="37"/>
      <c r="FZJ65" s="37"/>
      <c r="FZK65" s="37"/>
      <c r="FZL65" s="37"/>
      <c r="FZM65" s="37"/>
      <c r="FZN65" s="37"/>
      <c r="FZO65" s="37"/>
      <c r="FZP65" s="37"/>
      <c r="FZQ65" s="37"/>
      <c r="FZR65" s="37"/>
      <c r="FZS65" s="37"/>
      <c r="FZT65" s="37"/>
      <c r="FZU65" s="37"/>
      <c r="FZV65" s="37"/>
      <c r="FZW65" s="37"/>
      <c r="FZX65" s="37"/>
      <c r="FZY65" s="37"/>
      <c r="FZZ65" s="37"/>
      <c r="GAA65" s="37"/>
      <c r="GAB65" s="37"/>
      <c r="GAC65" s="37"/>
      <c r="GAD65" s="37"/>
      <c r="GAE65" s="37"/>
      <c r="GAF65" s="37"/>
      <c r="GAG65" s="37"/>
      <c r="GAH65" s="37"/>
      <c r="GAI65" s="37"/>
      <c r="GAJ65" s="37"/>
      <c r="GAK65" s="37"/>
      <c r="GAL65" s="37"/>
      <c r="GAM65" s="37"/>
      <c r="GAN65" s="37"/>
      <c r="GAO65" s="37"/>
      <c r="GAP65" s="37"/>
      <c r="GAQ65" s="37"/>
      <c r="GAR65" s="37"/>
      <c r="GAS65" s="37"/>
      <c r="GAT65" s="37"/>
      <c r="GAU65" s="37"/>
      <c r="GAV65" s="37"/>
      <c r="GAW65" s="37"/>
      <c r="GAX65" s="37"/>
      <c r="GAY65" s="37"/>
      <c r="GAZ65" s="37"/>
      <c r="GBA65" s="37"/>
      <c r="GBB65" s="37"/>
      <c r="GBC65" s="37"/>
      <c r="GBD65" s="37"/>
      <c r="GBE65" s="37"/>
      <c r="GBF65" s="37"/>
      <c r="GBG65" s="37"/>
      <c r="GBH65" s="37"/>
      <c r="GBI65" s="37"/>
      <c r="GBJ65" s="37"/>
      <c r="GBK65" s="37"/>
      <c r="GBL65" s="37"/>
      <c r="GBM65" s="37"/>
      <c r="GBN65" s="37"/>
      <c r="GBO65" s="37"/>
      <c r="GBP65" s="37"/>
      <c r="GBQ65" s="37"/>
      <c r="GBR65" s="37"/>
      <c r="GBS65" s="37"/>
      <c r="GBT65" s="37"/>
      <c r="GBU65" s="37"/>
      <c r="GBV65" s="37"/>
      <c r="GBW65" s="37"/>
      <c r="GBX65" s="37"/>
      <c r="GBY65" s="37"/>
      <c r="GBZ65" s="37"/>
      <c r="GCA65" s="37"/>
      <c r="GCB65" s="37"/>
      <c r="GCC65" s="37"/>
      <c r="GCD65" s="37"/>
      <c r="GCE65" s="37"/>
      <c r="GCF65" s="37"/>
      <c r="GCG65" s="37"/>
      <c r="GCH65" s="37"/>
      <c r="GCI65" s="37"/>
      <c r="GCJ65" s="37"/>
      <c r="GCK65" s="37"/>
      <c r="GCL65" s="37"/>
      <c r="GCM65" s="37"/>
      <c r="GCN65" s="37"/>
      <c r="GCO65" s="37"/>
      <c r="GCP65" s="37"/>
      <c r="GCQ65" s="37"/>
      <c r="GCR65" s="37"/>
      <c r="GCS65" s="37"/>
      <c r="GCT65" s="37"/>
      <c r="GCU65" s="37"/>
      <c r="GCV65" s="37"/>
      <c r="GCW65" s="37"/>
      <c r="GCX65" s="37"/>
      <c r="GCY65" s="37"/>
      <c r="GCZ65" s="37"/>
      <c r="GDA65" s="37"/>
      <c r="GDB65" s="37"/>
      <c r="GDC65" s="37"/>
      <c r="GDD65" s="37"/>
      <c r="GDE65" s="37"/>
      <c r="GDF65" s="37"/>
      <c r="GDG65" s="37"/>
      <c r="GDH65" s="37"/>
      <c r="GDI65" s="37"/>
      <c r="GDJ65" s="37"/>
      <c r="GDK65" s="37"/>
      <c r="GDL65" s="37"/>
      <c r="GDM65" s="37"/>
      <c r="GDN65" s="37"/>
      <c r="GDO65" s="37"/>
      <c r="GDP65" s="37"/>
      <c r="GDQ65" s="37"/>
      <c r="GDR65" s="37"/>
      <c r="GDS65" s="37"/>
      <c r="GDT65" s="37"/>
      <c r="GDU65" s="37"/>
      <c r="GDV65" s="37"/>
      <c r="GDW65" s="37"/>
      <c r="GDX65" s="37"/>
      <c r="GDY65" s="37"/>
      <c r="GDZ65" s="37"/>
      <c r="GEA65" s="37"/>
      <c r="GEB65" s="37"/>
      <c r="GEC65" s="37"/>
      <c r="GED65" s="37"/>
      <c r="GEE65" s="37"/>
      <c r="GEF65" s="37"/>
      <c r="GEG65" s="37"/>
      <c r="GEH65" s="37"/>
      <c r="GEI65" s="37"/>
      <c r="GEJ65" s="37"/>
      <c r="GEK65" s="37"/>
      <c r="GEL65" s="37"/>
      <c r="GEM65" s="37"/>
      <c r="GEN65" s="37"/>
      <c r="GEO65" s="37"/>
      <c r="GEP65" s="37"/>
      <c r="GEQ65" s="37"/>
      <c r="GER65" s="37"/>
      <c r="GES65" s="37"/>
      <c r="GET65" s="37"/>
      <c r="GEU65" s="37"/>
      <c r="GEV65" s="37"/>
      <c r="GEW65" s="37"/>
      <c r="GEX65" s="37"/>
      <c r="GEY65" s="37"/>
      <c r="GEZ65" s="37"/>
      <c r="GFA65" s="37"/>
      <c r="GFB65" s="37"/>
      <c r="GFC65" s="37"/>
      <c r="GFD65" s="37"/>
      <c r="GFE65" s="37"/>
      <c r="GFF65" s="37"/>
      <c r="GFG65" s="37"/>
      <c r="GFH65" s="37"/>
      <c r="GFI65" s="37"/>
      <c r="GFJ65" s="37"/>
      <c r="GFK65" s="37"/>
      <c r="GFL65" s="37"/>
      <c r="GFM65" s="37"/>
      <c r="GFN65" s="37"/>
      <c r="GFO65" s="37"/>
      <c r="GFP65" s="37"/>
      <c r="GFQ65" s="37"/>
      <c r="GFR65" s="37"/>
      <c r="GFS65" s="37"/>
      <c r="GFT65" s="37"/>
      <c r="GFU65" s="37"/>
      <c r="GFV65" s="37"/>
      <c r="GFW65" s="37"/>
      <c r="GFX65" s="37"/>
      <c r="GFY65" s="37"/>
      <c r="GFZ65" s="37"/>
      <c r="GGA65" s="37"/>
      <c r="GGB65" s="37"/>
      <c r="GGC65" s="37"/>
      <c r="GGD65" s="37"/>
      <c r="GGE65" s="37"/>
      <c r="GGF65" s="37"/>
      <c r="GGG65" s="37"/>
      <c r="GGH65" s="37"/>
      <c r="GGI65" s="37"/>
      <c r="GGJ65" s="37"/>
      <c r="GGK65" s="37"/>
      <c r="GGL65" s="37"/>
      <c r="GGM65" s="37"/>
      <c r="GGN65" s="37"/>
      <c r="GGO65" s="37"/>
      <c r="GGP65" s="37"/>
      <c r="GGQ65" s="37"/>
      <c r="GGR65" s="37"/>
      <c r="GGS65" s="37"/>
      <c r="GGT65" s="37"/>
      <c r="GGU65" s="37"/>
      <c r="GGV65" s="37"/>
      <c r="GGW65" s="37"/>
      <c r="GGX65" s="37"/>
      <c r="GGY65" s="37"/>
      <c r="GGZ65" s="37"/>
      <c r="GHA65" s="37"/>
      <c r="GHB65" s="37"/>
      <c r="GHC65" s="37"/>
      <c r="GHD65" s="37"/>
      <c r="GHE65" s="37"/>
      <c r="GHF65" s="37"/>
      <c r="GHG65" s="37"/>
      <c r="GHH65" s="37"/>
      <c r="GHI65" s="37"/>
      <c r="GHJ65" s="37"/>
      <c r="GHK65" s="37"/>
      <c r="GHL65" s="37"/>
      <c r="GHM65" s="37"/>
      <c r="GHN65" s="37"/>
      <c r="GHO65" s="37"/>
      <c r="GHP65" s="37"/>
      <c r="GHQ65" s="37"/>
      <c r="GHR65" s="37"/>
      <c r="GHS65" s="37"/>
      <c r="GHT65" s="37"/>
      <c r="GHU65" s="37"/>
      <c r="GHV65" s="37"/>
      <c r="GHW65" s="37"/>
      <c r="GHX65" s="37"/>
      <c r="GHY65" s="37"/>
      <c r="GHZ65" s="37"/>
      <c r="GIA65" s="37"/>
      <c r="GIB65" s="37"/>
      <c r="GIC65" s="37"/>
      <c r="GID65" s="37"/>
      <c r="GIE65" s="37"/>
      <c r="GIF65" s="37"/>
      <c r="GIG65" s="37"/>
      <c r="GIH65" s="37"/>
      <c r="GII65" s="37"/>
      <c r="GIJ65" s="37"/>
      <c r="GIK65" s="37"/>
      <c r="GIL65" s="37"/>
      <c r="GIM65" s="37"/>
      <c r="GIN65" s="37"/>
      <c r="GIO65" s="37"/>
      <c r="GIP65" s="37"/>
      <c r="GIQ65" s="37"/>
      <c r="GIR65" s="37"/>
      <c r="GIS65" s="37"/>
      <c r="GIT65" s="37"/>
      <c r="GIU65" s="37"/>
      <c r="GIV65" s="37"/>
      <c r="GIW65" s="37"/>
      <c r="GIX65" s="37"/>
      <c r="GIY65" s="37"/>
      <c r="GIZ65" s="37"/>
      <c r="GJA65" s="37"/>
      <c r="GJB65" s="37"/>
      <c r="GJC65" s="37"/>
      <c r="GJD65" s="37"/>
      <c r="GJE65" s="37"/>
      <c r="GJF65" s="37"/>
      <c r="GJG65" s="37"/>
      <c r="GJH65" s="37"/>
      <c r="GJI65" s="37"/>
      <c r="GJJ65" s="37"/>
      <c r="GJK65" s="37"/>
      <c r="GJL65" s="37"/>
      <c r="GJM65" s="37"/>
      <c r="GJN65" s="37"/>
      <c r="GJO65" s="37"/>
      <c r="GJP65" s="37"/>
      <c r="GJQ65" s="37"/>
      <c r="GJR65" s="37"/>
      <c r="GJS65" s="37"/>
      <c r="GJT65" s="37"/>
      <c r="GJU65" s="37"/>
      <c r="GJV65" s="37"/>
      <c r="GJW65" s="37"/>
      <c r="GJX65" s="37"/>
      <c r="GJY65" s="37"/>
      <c r="GJZ65" s="37"/>
      <c r="GKA65" s="37"/>
      <c r="GKB65" s="37"/>
      <c r="GKC65" s="37"/>
      <c r="GKD65" s="37"/>
      <c r="GKE65" s="37"/>
      <c r="GKF65" s="37"/>
      <c r="GKG65" s="37"/>
      <c r="GKH65" s="37"/>
      <c r="GKI65" s="37"/>
      <c r="GKJ65" s="37"/>
      <c r="GKK65" s="37"/>
      <c r="GKL65" s="37"/>
      <c r="GKM65" s="37"/>
      <c r="GKN65" s="37"/>
      <c r="GKO65" s="37"/>
      <c r="GKP65" s="37"/>
      <c r="GKQ65" s="37"/>
      <c r="GKR65" s="37"/>
      <c r="GKS65" s="37"/>
      <c r="GKT65" s="37"/>
      <c r="GKU65" s="37"/>
      <c r="GKV65" s="37"/>
      <c r="GKW65" s="37"/>
      <c r="GKX65" s="37"/>
      <c r="GKY65" s="37"/>
      <c r="GKZ65" s="37"/>
      <c r="GLA65" s="37"/>
      <c r="GLB65" s="37"/>
      <c r="GLC65" s="37"/>
      <c r="GLD65" s="37"/>
      <c r="GLE65" s="37"/>
      <c r="GLF65" s="37"/>
      <c r="GLG65" s="37"/>
      <c r="GLH65" s="37"/>
      <c r="GLI65" s="37"/>
      <c r="GLJ65" s="37"/>
      <c r="GLK65" s="37"/>
      <c r="GLL65" s="37"/>
      <c r="GLM65" s="37"/>
      <c r="GLN65" s="37"/>
      <c r="GLO65" s="37"/>
      <c r="GLP65" s="37"/>
      <c r="GLQ65" s="37"/>
      <c r="GLR65" s="37"/>
      <c r="GLS65" s="37"/>
      <c r="GLT65" s="37"/>
      <c r="GLU65" s="37"/>
      <c r="GLV65" s="37"/>
      <c r="GLW65" s="37"/>
      <c r="GLX65" s="37"/>
      <c r="GLY65" s="37"/>
      <c r="GLZ65" s="37"/>
      <c r="GMA65" s="37"/>
      <c r="GMB65" s="37"/>
      <c r="GMC65" s="37"/>
      <c r="GMD65" s="37"/>
      <c r="GME65" s="37"/>
      <c r="GMF65" s="37"/>
      <c r="GMG65" s="37"/>
      <c r="GMH65" s="37"/>
      <c r="GMI65" s="37"/>
      <c r="GMJ65" s="37"/>
      <c r="GMK65" s="37"/>
      <c r="GML65" s="37"/>
      <c r="GMM65" s="37"/>
      <c r="GMN65" s="37"/>
      <c r="GMO65" s="37"/>
      <c r="GMP65" s="37"/>
      <c r="GMQ65" s="37"/>
      <c r="GMR65" s="37"/>
      <c r="GMS65" s="37"/>
      <c r="GMT65" s="37"/>
      <c r="GMU65" s="37"/>
      <c r="GMV65" s="37"/>
      <c r="GMW65" s="37"/>
      <c r="GMX65" s="37"/>
      <c r="GMY65" s="37"/>
      <c r="GMZ65" s="37"/>
      <c r="GNA65" s="37"/>
      <c r="GNB65" s="37"/>
      <c r="GNC65" s="37"/>
      <c r="GND65" s="37"/>
      <c r="GNE65" s="37"/>
      <c r="GNF65" s="37"/>
      <c r="GNG65" s="37"/>
      <c r="GNH65" s="37"/>
      <c r="GNI65" s="37"/>
      <c r="GNJ65" s="37"/>
      <c r="GNK65" s="37"/>
      <c r="GNL65" s="37"/>
      <c r="GNM65" s="37"/>
      <c r="GNN65" s="37"/>
      <c r="GNO65" s="37"/>
      <c r="GNP65" s="37"/>
      <c r="GNQ65" s="37"/>
      <c r="GNR65" s="37"/>
      <c r="GNS65" s="37"/>
      <c r="GNT65" s="37"/>
      <c r="GNU65" s="37"/>
      <c r="GNV65" s="37"/>
      <c r="GNW65" s="37"/>
      <c r="GNX65" s="37"/>
      <c r="GNY65" s="37"/>
      <c r="GNZ65" s="37"/>
      <c r="GOA65" s="37"/>
      <c r="GOB65" s="37"/>
      <c r="GOC65" s="37"/>
      <c r="GOD65" s="37"/>
      <c r="GOE65" s="37"/>
      <c r="GOF65" s="37"/>
      <c r="GOG65" s="37"/>
      <c r="GOH65" s="37"/>
      <c r="GOI65" s="37"/>
      <c r="GOJ65" s="37"/>
      <c r="GOK65" s="37"/>
      <c r="GOL65" s="37"/>
      <c r="GOM65" s="37"/>
      <c r="GON65" s="37"/>
      <c r="GOO65" s="37"/>
      <c r="GOP65" s="37"/>
      <c r="GOQ65" s="37"/>
      <c r="GOR65" s="37"/>
      <c r="GOS65" s="37"/>
      <c r="GOT65" s="37"/>
      <c r="GOU65" s="37"/>
      <c r="GOV65" s="37"/>
      <c r="GOW65" s="37"/>
      <c r="GOX65" s="37"/>
      <c r="GOY65" s="37"/>
      <c r="GOZ65" s="37"/>
      <c r="GPA65" s="37"/>
      <c r="GPB65" s="37"/>
      <c r="GPC65" s="37"/>
      <c r="GPD65" s="37"/>
      <c r="GPE65" s="37"/>
      <c r="GPF65" s="37"/>
      <c r="GPG65" s="37"/>
      <c r="GPH65" s="37"/>
      <c r="GPI65" s="37"/>
      <c r="GPJ65" s="37"/>
      <c r="GPK65" s="37"/>
      <c r="GPL65" s="37"/>
      <c r="GPM65" s="37"/>
      <c r="GPN65" s="37"/>
      <c r="GPO65" s="37"/>
      <c r="GPP65" s="37"/>
      <c r="GPQ65" s="37"/>
      <c r="GPR65" s="37"/>
      <c r="GPS65" s="37"/>
      <c r="GPT65" s="37"/>
      <c r="GPU65" s="37"/>
      <c r="GPV65" s="37"/>
      <c r="GPW65" s="37"/>
      <c r="GPX65" s="37"/>
      <c r="GPY65" s="37"/>
      <c r="GPZ65" s="37"/>
      <c r="GQA65" s="37"/>
      <c r="GQB65" s="37"/>
      <c r="GQC65" s="37"/>
      <c r="GQD65" s="37"/>
      <c r="GQE65" s="37"/>
      <c r="GQF65" s="37"/>
      <c r="GQG65" s="37"/>
      <c r="GQH65" s="37"/>
      <c r="GQI65" s="37"/>
      <c r="GQJ65" s="37"/>
      <c r="GQK65" s="37"/>
      <c r="GQL65" s="37"/>
      <c r="GQM65" s="37"/>
      <c r="GQN65" s="37"/>
      <c r="GQO65" s="37"/>
      <c r="GQP65" s="37"/>
      <c r="GQQ65" s="37"/>
      <c r="GQR65" s="37"/>
      <c r="GQS65" s="37"/>
      <c r="GQT65" s="37"/>
      <c r="GQU65" s="37"/>
      <c r="GQV65" s="37"/>
      <c r="GQW65" s="37"/>
      <c r="GQX65" s="37"/>
      <c r="GQY65" s="37"/>
      <c r="GQZ65" s="37"/>
      <c r="GRA65" s="37"/>
      <c r="GRB65" s="37"/>
      <c r="GRC65" s="37"/>
      <c r="GRD65" s="37"/>
      <c r="GRE65" s="37"/>
      <c r="GRF65" s="37"/>
      <c r="GRG65" s="37"/>
      <c r="GRH65" s="37"/>
      <c r="GRI65" s="37"/>
      <c r="GRJ65" s="37"/>
      <c r="GRK65" s="37"/>
      <c r="GRL65" s="37"/>
      <c r="GRM65" s="37"/>
      <c r="GRN65" s="37"/>
      <c r="GRO65" s="37"/>
      <c r="GRP65" s="37"/>
      <c r="GRQ65" s="37"/>
      <c r="GRR65" s="37"/>
      <c r="GRS65" s="37"/>
      <c r="GRT65" s="37"/>
      <c r="GRU65" s="37"/>
      <c r="GRV65" s="37"/>
      <c r="GRW65" s="37"/>
      <c r="GRX65" s="37"/>
      <c r="GRY65" s="37"/>
      <c r="GRZ65" s="37"/>
      <c r="GSA65" s="37"/>
      <c r="GSB65" s="37"/>
      <c r="GSC65" s="37"/>
      <c r="GSD65" s="37"/>
      <c r="GSE65" s="37"/>
      <c r="GSF65" s="37"/>
      <c r="GSG65" s="37"/>
      <c r="GSH65" s="37"/>
      <c r="GSI65" s="37"/>
      <c r="GSJ65" s="37"/>
      <c r="GSK65" s="37"/>
      <c r="GSL65" s="37"/>
      <c r="GSM65" s="37"/>
      <c r="GSN65" s="37"/>
      <c r="GSO65" s="37"/>
      <c r="GSP65" s="37"/>
      <c r="GSQ65" s="37"/>
      <c r="GSR65" s="37"/>
      <c r="GSS65" s="37"/>
      <c r="GST65" s="37"/>
      <c r="GSU65" s="37"/>
      <c r="GSV65" s="37"/>
      <c r="GSW65" s="37"/>
      <c r="GSX65" s="37"/>
      <c r="GSY65" s="37"/>
      <c r="GSZ65" s="37"/>
      <c r="GTA65" s="37"/>
      <c r="GTB65" s="37"/>
      <c r="GTC65" s="37"/>
      <c r="GTD65" s="37"/>
      <c r="GTE65" s="37"/>
      <c r="GTF65" s="37"/>
      <c r="GTG65" s="37"/>
      <c r="GTH65" s="37"/>
      <c r="GTI65" s="37"/>
      <c r="GTJ65" s="37"/>
      <c r="GTK65" s="37"/>
      <c r="GTL65" s="37"/>
      <c r="GTM65" s="37"/>
      <c r="GTN65" s="37"/>
      <c r="GTO65" s="37"/>
      <c r="GTP65" s="37"/>
      <c r="GTQ65" s="37"/>
      <c r="GTR65" s="37"/>
      <c r="GTS65" s="37"/>
      <c r="GTT65" s="37"/>
      <c r="GTU65" s="37"/>
      <c r="GTV65" s="37"/>
      <c r="GTW65" s="37"/>
      <c r="GTX65" s="37"/>
      <c r="GTY65" s="37"/>
      <c r="GTZ65" s="37"/>
      <c r="GUA65" s="37"/>
      <c r="GUB65" s="37"/>
      <c r="GUC65" s="37"/>
      <c r="GUD65" s="37"/>
      <c r="GUE65" s="37"/>
      <c r="GUF65" s="37"/>
      <c r="GUG65" s="37"/>
      <c r="GUH65" s="37"/>
      <c r="GUI65" s="37"/>
      <c r="GUJ65" s="37"/>
      <c r="GUK65" s="37"/>
      <c r="GUL65" s="37"/>
      <c r="GUM65" s="37"/>
      <c r="GUN65" s="37"/>
      <c r="GUO65" s="37"/>
      <c r="GUP65" s="37"/>
      <c r="GUQ65" s="37"/>
      <c r="GUR65" s="37"/>
      <c r="GUS65" s="37"/>
      <c r="GUT65" s="37"/>
      <c r="GUU65" s="37"/>
      <c r="GUV65" s="37"/>
      <c r="GUW65" s="37"/>
      <c r="GUX65" s="37"/>
      <c r="GUY65" s="37"/>
      <c r="GUZ65" s="37"/>
      <c r="GVA65" s="37"/>
      <c r="GVB65" s="37"/>
      <c r="GVC65" s="37"/>
      <c r="GVD65" s="37"/>
      <c r="GVE65" s="37"/>
      <c r="GVF65" s="37"/>
      <c r="GVG65" s="37"/>
      <c r="GVH65" s="37"/>
      <c r="GVI65" s="37"/>
      <c r="GVJ65" s="37"/>
      <c r="GVK65" s="37"/>
      <c r="GVL65" s="37"/>
      <c r="GVM65" s="37"/>
      <c r="GVN65" s="37"/>
      <c r="GVO65" s="37"/>
      <c r="GVP65" s="37"/>
      <c r="GVQ65" s="37"/>
      <c r="GVR65" s="37"/>
      <c r="GVS65" s="37"/>
      <c r="GVT65" s="37"/>
      <c r="GVU65" s="37"/>
      <c r="GVV65" s="37"/>
      <c r="GVW65" s="37"/>
      <c r="GVX65" s="37"/>
      <c r="GVY65" s="37"/>
      <c r="GVZ65" s="37"/>
      <c r="GWA65" s="37"/>
      <c r="GWB65" s="37"/>
      <c r="GWC65" s="37"/>
      <c r="GWD65" s="37"/>
      <c r="GWE65" s="37"/>
      <c r="GWF65" s="37"/>
      <c r="GWG65" s="37"/>
      <c r="GWH65" s="37"/>
      <c r="GWI65" s="37"/>
      <c r="GWJ65" s="37"/>
      <c r="GWK65" s="37"/>
      <c r="GWL65" s="37"/>
      <c r="GWM65" s="37"/>
      <c r="GWN65" s="37"/>
      <c r="GWO65" s="37"/>
      <c r="GWP65" s="37"/>
      <c r="GWQ65" s="37"/>
      <c r="GWR65" s="37"/>
      <c r="GWS65" s="37"/>
      <c r="GWT65" s="37"/>
      <c r="GWU65" s="37"/>
      <c r="GWV65" s="37"/>
      <c r="GWW65" s="37"/>
      <c r="GWX65" s="37"/>
      <c r="GWY65" s="37"/>
      <c r="GWZ65" s="37"/>
      <c r="GXA65" s="37"/>
      <c r="GXB65" s="37"/>
      <c r="GXC65" s="37"/>
      <c r="GXD65" s="37"/>
      <c r="GXE65" s="37"/>
      <c r="GXF65" s="37"/>
      <c r="GXG65" s="37"/>
      <c r="GXH65" s="37"/>
      <c r="GXI65" s="37"/>
      <c r="GXJ65" s="37"/>
      <c r="GXK65" s="37"/>
      <c r="GXL65" s="37"/>
      <c r="GXM65" s="37"/>
      <c r="GXN65" s="37"/>
      <c r="GXO65" s="37"/>
      <c r="GXP65" s="37"/>
      <c r="GXQ65" s="37"/>
      <c r="GXR65" s="37"/>
      <c r="GXS65" s="37"/>
      <c r="GXT65" s="37"/>
      <c r="GXU65" s="37"/>
      <c r="GXV65" s="37"/>
      <c r="GXW65" s="37"/>
      <c r="GXX65" s="37"/>
      <c r="GXY65" s="37"/>
      <c r="GXZ65" s="37"/>
      <c r="GYA65" s="37"/>
      <c r="GYB65" s="37"/>
      <c r="GYC65" s="37"/>
      <c r="GYD65" s="37"/>
      <c r="GYE65" s="37"/>
      <c r="GYF65" s="37"/>
      <c r="GYG65" s="37"/>
      <c r="GYH65" s="37"/>
      <c r="GYI65" s="37"/>
      <c r="GYJ65" s="37"/>
      <c r="GYK65" s="37"/>
      <c r="GYL65" s="37"/>
      <c r="GYM65" s="37"/>
      <c r="GYN65" s="37"/>
      <c r="GYO65" s="37"/>
      <c r="GYP65" s="37"/>
      <c r="GYQ65" s="37"/>
      <c r="GYR65" s="37"/>
      <c r="GYS65" s="37"/>
      <c r="GYT65" s="37"/>
      <c r="GYU65" s="37"/>
      <c r="GYV65" s="37"/>
      <c r="GYW65" s="37"/>
      <c r="GYX65" s="37"/>
      <c r="GYY65" s="37"/>
      <c r="GYZ65" s="37"/>
      <c r="GZA65" s="37"/>
      <c r="GZB65" s="37"/>
      <c r="GZC65" s="37"/>
      <c r="GZD65" s="37"/>
      <c r="GZE65" s="37"/>
      <c r="GZF65" s="37"/>
      <c r="GZG65" s="37"/>
      <c r="GZH65" s="37"/>
      <c r="GZI65" s="37"/>
      <c r="GZJ65" s="37"/>
      <c r="GZK65" s="37"/>
      <c r="GZL65" s="37"/>
      <c r="GZM65" s="37"/>
      <c r="GZN65" s="37"/>
      <c r="GZO65" s="37"/>
      <c r="GZP65" s="37"/>
      <c r="GZQ65" s="37"/>
      <c r="GZR65" s="37"/>
      <c r="GZS65" s="37"/>
      <c r="GZT65" s="37"/>
      <c r="GZU65" s="37"/>
      <c r="GZV65" s="37"/>
      <c r="GZW65" s="37"/>
      <c r="GZX65" s="37"/>
      <c r="GZY65" s="37"/>
      <c r="GZZ65" s="37"/>
      <c r="HAA65" s="37"/>
      <c r="HAB65" s="37"/>
      <c r="HAC65" s="37"/>
      <c r="HAD65" s="37"/>
      <c r="HAE65" s="37"/>
      <c r="HAF65" s="37"/>
      <c r="HAG65" s="37"/>
      <c r="HAH65" s="37"/>
      <c r="HAI65" s="37"/>
      <c r="HAJ65" s="37"/>
      <c r="HAK65" s="37"/>
      <c r="HAL65" s="37"/>
      <c r="HAM65" s="37"/>
      <c r="HAN65" s="37"/>
      <c r="HAO65" s="37"/>
      <c r="HAP65" s="37"/>
      <c r="HAQ65" s="37"/>
      <c r="HAR65" s="37"/>
      <c r="HAS65" s="37"/>
      <c r="HAT65" s="37"/>
      <c r="HAU65" s="37"/>
      <c r="HAV65" s="37"/>
      <c r="HAW65" s="37"/>
      <c r="HAX65" s="37"/>
      <c r="HAY65" s="37"/>
      <c r="HAZ65" s="37"/>
      <c r="HBA65" s="37"/>
      <c r="HBB65" s="37"/>
      <c r="HBC65" s="37"/>
      <c r="HBD65" s="37"/>
      <c r="HBE65" s="37"/>
      <c r="HBF65" s="37"/>
      <c r="HBG65" s="37"/>
      <c r="HBH65" s="37"/>
      <c r="HBI65" s="37"/>
      <c r="HBJ65" s="37"/>
      <c r="HBK65" s="37"/>
      <c r="HBL65" s="37"/>
      <c r="HBM65" s="37"/>
      <c r="HBN65" s="37"/>
      <c r="HBO65" s="37"/>
      <c r="HBP65" s="37"/>
      <c r="HBQ65" s="37"/>
      <c r="HBR65" s="37"/>
      <c r="HBS65" s="37"/>
      <c r="HBT65" s="37"/>
      <c r="HBU65" s="37"/>
      <c r="HBV65" s="37"/>
      <c r="HBW65" s="37"/>
      <c r="HBX65" s="37"/>
      <c r="HBY65" s="37"/>
      <c r="HBZ65" s="37"/>
      <c r="HCA65" s="37"/>
      <c r="HCB65" s="37"/>
      <c r="HCC65" s="37"/>
      <c r="HCD65" s="37"/>
      <c r="HCE65" s="37"/>
      <c r="HCF65" s="37"/>
      <c r="HCG65" s="37"/>
      <c r="HCH65" s="37"/>
      <c r="HCI65" s="37"/>
      <c r="HCJ65" s="37"/>
      <c r="HCK65" s="37"/>
      <c r="HCL65" s="37"/>
      <c r="HCM65" s="37"/>
      <c r="HCN65" s="37"/>
      <c r="HCO65" s="37"/>
      <c r="HCP65" s="37"/>
      <c r="HCQ65" s="37"/>
      <c r="HCR65" s="37"/>
      <c r="HCS65" s="37"/>
      <c r="HCT65" s="37"/>
      <c r="HCU65" s="37"/>
      <c r="HCV65" s="37"/>
      <c r="HCW65" s="37"/>
      <c r="HCX65" s="37"/>
      <c r="HCY65" s="37"/>
      <c r="HCZ65" s="37"/>
      <c r="HDA65" s="37"/>
      <c r="HDB65" s="37"/>
      <c r="HDC65" s="37"/>
      <c r="HDD65" s="37"/>
      <c r="HDE65" s="37"/>
      <c r="HDF65" s="37"/>
      <c r="HDG65" s="37"/>
      <c r="HDH65" s="37"/>
      <c r="HDI65" s="37"/>
      <c r="HDJ65" s="37"/>
      <c r="HDK65" s="37"/>
      <c r="HDL65" s="37"/>
      <c r="HDM65" s="37"/>
      <c r="HDN65" s="37"/>
      <c r="HDO65" s="37"/>
      <c r="HDP65" s="37"/>
      <c r="HDQ65" s="37"/>
      <c r="HDR65" s="37"/>
      <c r="HDS65" s="37"/>
      <c r="HDT65" s="37"/>
      <c r="HDU65" s="37"/>
      <c r="HDV65" s="37"/>
      <c r="HDW65" s="37"/>
      <c r="HDX65" s="37"/>
      <c r="HDY65" s="37"/>
      <c r="HDZ65" s="37"/>
      <c r="HEA65" s="37"/>
      <c r="HEB65" s="37"/>
      <c r="HEC65" s="37"/>
      <c r="HED65" s="37"/>
      <c r="HEE65" s="37"/>
      <c r="HEF65" s="37"/>
      <c r="HEG65" s="37"/>
      <c r="HEH65" s="37"/>
      <c r="HEI65" s="37"/>
      <c r="HEJ65" s="37"/>
      <c r="HEK65" s="37"/>
      <c r="HEL65" s="37"/>
      <c r="HEM65" s="37"/>
      <c r="HEN65" s="37"/>
      <c r="HEO65" s="37"/>
      <c r="HEP65" s="37"/>
      <c r="HEQ65" s="37"/>
      <c r="HER65" s="37"/>
      <c r="HES65" s="37"/>
      <c r="HET65" s="37"/>
      <c r="HEU65" s="37"/>
      <c r="HEV65" s="37"/>
      <c r="HEW65" s="37"/>
      <c r="HEX65" s="37"/>
      <c r="HEY65" s="37"/>
      <c r="HEZ65" s="37"/>
      <c r="HFA65" s="37"/>
      <c r="HFB65" s="37"/>
      <c r="HFC65" s="37"/>
      <c r="HFD65" s="37"/>
      <c r="HFE65" s="37"/>
      <c r="HFF65" s="37"/>
      <c r="HFG65" s="37"/>
      <c r="HFH65" s="37"/>
      <c r="HFI65" s="37"/>
      <c r="HFJ65" s="37"/>
      <c r="HFK65" s="37"/>
      <c r="HFL65" s="37"/>
      <c r="HFM65" s="37"/>
      <c r="HFN65" s="37"/>
      <c r="HFO65" s="37"/>
      <c r="HFP65" s="37"/>
      <c r="HFQ65" s="37"/>
      <c r="HFR65" s="37"/>
      <c r="HFS65" s="37"/>
      <c r="HFT65" s="37"/>
      <c r="HFU65" s="37"/>
      <c r="HFV65" s="37"/>
      <c r="HFW65" s="37"/>
      <c r="HFX65" s="37"/>
      <c r="HFY65" s="37"/>
      <c r="HFZ65" s="37"/>
      <c r="HGA65" s="37"/>
      <c r="HGB65" s="37"/>
      <c r="HGC65" s="37"/>
      <c r="HGD65" s="37"/>
      <c r="HGE65" s="37"/>
      <c r="HGF65" s="37"/>
      <c r="HGG65" s="37"/>
      <c r="HGH65" s="37"/>
      <c r="HGI65" s="37"/>
      <c r="HGJ65" s="37"/>
      <c r="HGK65" s="37"/>
      <c r="HGL65" s="37"/>
      <c r="HGM65" s="37"/>
      <c r="HGN65" s="37"/>
      <c r="HGO65" s="37"/>
      <c r="HGP65" s="37"/>
      <c r="HGQ65" s="37"/>
      <c r="HGR65" s="37"/>
      <c r="HGS65" s="37"/>
      <c r="HGT65" s="37"/>
      <c r="HGU65" s="37"/>
      <c r="HGV65" s="37"/>
      <c r="HGW65" s="37"/>
      <c r="HGX65" s="37"/>
      <c r="HGY65" s="37"/>
      <c r="HGZ65" s="37"/>
      <c r="HHA65" s="37"/>
      <c r="HHB65" s="37"/>
      <c r="HHC65" s="37"/>
      <c r="HHD65" s="37"/>
      <c r="HHE65" s="37"/>
      <c r="HHF65" s="37"/>
      <c r="HHG65" s="37"/>
      <c r="HHH65" s="37"/>
      <c r="HHI65" s="37"/>
      <c r="HHJ65" s="37"/>
      <c r="HHK65" s="37"/>
      <c r="HHL65" s="37"/>
      <c r="HHM65" s="37"/>
      <c r="HHN65" s="37"/>
      <c r="HHO65" s="37"/>
      <c r="HHP65" s="37"/>
      <c r="HHQ65" s="37"/>
      <c r="HHR65" s="37"/>
      <c r="HHS65" s="37"/>
      <c r="HHT65" s="37"/>
      <c r="HHU65" s="37"/>
      <c r="HHV65" s="37"/>
      <c r="HHW65" s="37"/>
      <c r="HHX65" s="37"/>
      <c r="HHY65" s="37"/>
      <c r="HHZ65" s="37"/>
      <c r="HIA65" s="37"/>
      <c r="HIB65" s="37"/>
      <c r="HIC65" s="37"/>
      <c r="HID65" s="37"/>
      <c r="HIE65" s="37"/>
      <c r="HIF65" s="37"/>
      <c r="HIG65" s="37"/>
      <c r="HIH65" s="37"/>
      <c r="HII65" s="37"/>
      <c r="HIJ65" s="37"/>
      <c r="HIK65" s="37"/>
      <c r="HIL65" s="37"/>
      <c r="HIM65" s="37"/>
      <c r="HIN65" s="37"/>
      <c r="HIO65" s="37"/>
      <c r="HIP65" s="37"/>
      <c r="HIQ65" s="37"/>
      <c r="HIR65" s="37"/>
      <c r="HIS65" s="37"/>
      <c r="HIT65" s="37"/>
      <c r="HIU65" s="37"/>
      <c r="HIV65" s="37"/>
      <c r="HIW65" s="37"/>
      <c r="HIX65" s="37"/>
      <c r="HIY65" s="37"/>
      <c r="HIZ65" s="37"/>
      <c r="HJA65" s="37"/>
      <c r="HJB65" s="37"/>
      <c r="HJC65" s="37"/>
      <c r="HJD65" s="37"/>
      <c r="HJE65" s="37"/>
      <c r="HJF65" s="37"/>
      <c r="HJG65" s="37"/>
      <c r="HJH65" s="37"/>
      <c r="HJI65" s="37"/>
      <c r="HJJ65" s="37"/>
      <c r="HJK65" s="37"/>
      <c r="HJL65" s="37"/>
      <c r="HJM65" s="37"/>
      <c r="HJN65" s="37"/>
      <c r="HJO65" s="37"/>
      <c r="HJP65" s="37"/>
      <c r="HJQ65" s="37"/>
      <c r="HJR65" s="37"/>
      <c r="HJS65" s="37"/>
      <c r="HJT65" s="37"/>
      <c r="HJU65" s="37"/>
      <c r="HJV65" s="37"/>
      <c r="HJW65" s="37"/>
      <c r="HJX65" s="37"/>
      <c r="HJY65" s="37"/>
      <c r="HJZ65" s="37"/>
      <c r="HKA65" s="37"/>
      <c r="HKB65" s="37"/>
      <c r="HKC65" s="37"/>
      <c r="HKD65" s="37"/>
      <c r="HKE65" s="37"/>
      <c r="HKF65" s="37"/>
      <c r="HKG65" s="37"/>
      <c r="HKH65" s="37"/>
      <c r="HKI65" s="37"/>
      <c r="HKJ65" s="37"/>
      <c r="HKK65" s="37"/>
      <c r="HKL65" s="37"/>
      <c r="HKM65" s="37"/>
      <c r="HKN65" s="37"/>
      <c r="HKO65" s="37"/>
      <c r="HKP65" s="37"/>
      <c r="HKQ65" s="37"/>
      <c r="HKR65" s="37"/>
      <c r="HKS65" s="37"/>
      <c r="HKT65" s="37"/>
      <c r="HKU65" s="37"/>
      <c r="HKV65" s="37"/>
      <c r="HKW65" s="37"/>
      <c r="HKX65" s="37"/>
      <c r="HKY65" s="37"/>
      <c r="HKZ65" s="37"/>
      <c r="HLA65" s="37"/>
      <c r="HLB65" s="37"/>
      <c r="HLC65" s="37"/>
      <c r="HLD65" s="37"/>
      <c r="HLE65" s="37"/>
      <c r="HLF65" s="37"/>
      <c r="HLG65" s="37"/>
      <c r="HLH65" s="37"/>
      <c r="HLI65" s="37"/>
      <c r="HLJ65" s="37"/>
      <c r="HLK65" s="37"/>
      <c r="HLL65" s="37"/>
      <c r="HLM65" s="37"/>
      <c r="HLN65" s="37"/>
      <c r="HLO65" s="37"/>
      <c r="HLP65" s="37"/>
      <c r="HLQ65" s="37"/>
      <c r="HLR65" s="37"/>
      <c r="HLS65" s="37"/>
      <c r="HLT65" s="37"/>
      <c r="HLU65" s="37"/>
      <c r="HLV65" s="37"/>
      <c r="HLW65" s="37"/>
      <c r="HLX65" s="37"/>
      <c r="HLY65" s="37"/>
      <c r="HLZ65" s="37"/>
      <c r="HMA65" s="37"/>
      <c r="HMB65" s="37"/>
      <c r="HMC65" s="37"/>
      <c r="HMD65" s="37"/>
      <c r="HME65" s="37"/>
      <c r="HMF65" s="37"/>
      <c r="HMG65" s="37"/>
      <c r="HMH65" s="37"/>
      <c r="HMI65" s="37"/>
      <c r="HMJ65" s="37"/>
      <c r="HMK65" s="37"/>
      <c r="HML65" s="37"/>
      <c r="HMM65" s="37"/>
      <c r="HMN65" s="37"/>
      <c r="HMO65" s="37"/>
      <c r="HMP65" s="37"/>
      <c r="HMQ65" s="37"/>
      <c r="HMR65" s="37"/>
      <c r="HMS65" s="37"/>
      <c r="HMT65" s="37"/>
      <c r="HMU65" s="37"/>
      <c r="HMV65" s="37"/>
      <c r="HMW65" s="37"/>
      <c r="HMX65" s="37"/>
      <c r="HMY65" s="37"/>
      <c r="HMZ65" s="37"/>
      <c r="HNA65" s="37"/>
      <c r="HNB65" s="37"/>
      <c r="HNC65" s="37"/>
      <c r="HND65" s="37"/>
      <c r="HNE65" s="37"/>
      <c r="HNF65" s="37"/>
      <c r="HNG65" s="37"/>
      <c r="HNH65" s="37"/>
      <c r="HNI65" s="37"/>
      <c r="HNJ65" s="37"/>
      <c r="HNK65" s="37"/>
      <c r="HNL65" s="37"/>
      <c r="HNM65" s="37"/>
      <c r="HNN65" s="37"/>
      <c r="HNO65" s="37"/>
      <c r="HNP65" s="37"/>
      <c r="HNQ65" s="37"/>
      <c r="HNR65" s="37"/>
      <c r="HNS65" s="37"/>
      <c r="HNT65" s="37"/>
      <c r="HNU65" s="37"/>
      <c r="HNV65" s="37"/>
      <c r="HNW65" s="37"/>
      <c r="HNX65" s="37"/>
      <c r="HNY65" s="37"/>
      <c r="HNZ65" s="37"/>
      <c r="HOA65" s="37"/>
      <c r="HOB65" s="37"/>
      <c r="HOC65" s="37"/>
      <c r="HOD65" s="37"/>
      <c r="HOE65" s="37"/>
      <c r="HOF65" s="37"/>
      <c r="HOG65" s="37"/>
      <c r="HOH65" s="37"/>
      <c r="HOI65" s="37"/>
      <c r="HOJ65" s="37"/>
      <c r="HOK65" s="37"/>
      <c r="HOL65" s="37"/>
      <c r="HOM65" s="37"/>
      <c r="HON65" s="37"/>
      <c r="HOO65" s="37"/>
      <c r="HOP65" s="37"/>
      <c r="HOQ65" s="37"/>
      <c r="HOR65" s="37"/>
      <c r="HOS65" s="37"/>
      <c r="HOT65" s="37"/>
      <c r="HOU65" s="37"/>
      <c r="HOV65" s="37"/>
      <c r="HOW65" s="37"/>
      <c r="HOX65" s="37"/>
      <c r="HOY65" s="37"/>
      <c r="HOZ65" s="37"/>
      <c r="HPA65" s="37"/>
      <c r="HPB65" s="37"/>
      <c r="HPC65" s="37"/>
      <c r="HPD65" s="37"/>
      <c r="HPE65" s="37"/>
      <c r="HPF65" s="37"/>
      <c r="HPG65" s="37"/>
      <c r="HPH65" s="37"/>
      <c r="HPI65" s="37"/>
      <c r="HPJ65" s="37"/>
      <c r="HPK65" s="37"/>
      <c r="HPL65" s="37"/>
      <c r="HPM65" s="37"/>
      <c r="HPN65" s="37"/>
      <c r="HPO65" s="37"/>
      <c r="HPP65" s="37"/>
      <c r="HPQ65" s="37"/>
      <c r="HPR65" s="37"/>
      <c r="HPS65" s="37"/>
      <c r="HPT65" s="37"/>
      <c r="HPU65" s="37"/>
      <c r="HPV65" s="37"/>
      <c r="HPW65" s="37"/>
      <c r="HPX65" s="37"/>
      <c r="HPY65" s="37"/>
      <c r="HPZ65" s="37"/>
      <c r="HQA65" s="37"/>
      <c r="HQB65" s="37"/>
      <c r="HQC65" s="37"/>
      <c r="HQD65" s="37"/>
      <c r="HQE65" s="37"/>
      <c r="HQF65" s="37"/>
      <c r="HQG65" s="37"/>
      <c r="HQH65" s="37"/>
      <c r="HQI65" s="37"/>
      <c r="HQJ65" s="37"/>
      <c r="HQK65" s="37"/>
      <c r="HQL65" s="37"/>
      <c r="HQM65" s="37"/>
      <c r="HQN65" s="37"/>
      <c r="HQO65" s="37"/>
      <c r="HQP65" s="37"/>
      <c r="HQQ65" s="37"/>
      <c r="HQR65" s="37"/>
      <c r="HQS65" s="37"/>
      <c r="HQT65" s="37"/>
      <c r="HQU65" s="37"/>
      <c r="HQV65" s="37"/>
      <c r="HQW65" s="37"/>
      <c r="HQX65" s="37"/>
      <c r="HQY65" s="37"/>
      <c r="HQZ65" s="37"/>
      <c r="HRA65" s="37"/>
      <c r="HRB65" s="37"/>
      <c r="HRC65" s="37"/>
      <c r="HRD65" s="37"/>
      <c r="HRE65" s="37"/>
      <c r="HRF65" s="37"/>
      <c r="HRG65" s="37"/>
      <c r="HRH65" s="37"/>
      <c r="HRI65" s="37"/>
      <c r="HRJ65" s="37"/>
      <c r="HRK65" s="37"/>
      <c r="HRL65" s="37"/>
      <c r="HRM65" s="37"/>
      <c r="HRN65" s="37"/>
      <c r="HRO65" s="37"/>
      <c r="HRP65" s="37"/>
      <c r="HRQ65" s="37"/>
      <c r="HRR65" s="37"/>
      <c r="HRS65" s="37"/>
      <c r="HRT65" s="37"/>
      <c r="HRU65" s="37"/>
      <c r="HRV65" s="37"/>
      <c r="HRW65" s="37"/>
      <c r="HRX65" s="37"/>
      <c r="HRY65" s="37"/>
      <c r="HRZ65" s="37"/>
      <c r="HSA65" s="37"/>
      <c r="HSB65" s="37"/>
      <c r="HSC65" s="37"/>
      <c r="HSD65" s="37"/>
      <c r="HSE65" s="37"/>
      <c r="HSF65" s="37"/>
      <c r="HSG65" s="37"/>
      <c r="HSH65" s="37"/>
      <c r="HSI65" s="37"/>
      <c r="HSJ65" s="37"/>
      <c r="HSK65" s="37"/>
      <c r="HSL65" s="37"/>
      <c r="HSM65" s="37"/>
      <c r="HSN65" s="37"/>
      <c r="HSO65" s="37"/>
      <c r="HSP65" s="37"/>
      <c r="HSQ65" s="37"/>
      <c r="HSR65" s="37"/>
      <c r="HSS65" s="37"/>
      <c r="HST65" s="37"/>
      <c r="HSU65" s="37"/>
      <c r="HSV65" s="37"/>
      <c r="HSW65" s="37"/>
      <c r="HSX65" s="37"/>
      <c r="HSY65" s="37"/>
      <c r="HSZ65" s="37"/>
      <c r="HTA65" s="37"/>
      <c r="HTB65" s="37"/>
      <c r="HTC65" s="37"/>
      <c r="HTD65" s="37"/>
      <c r="HTE65" s="37"/>
      <c r="HTF65" s="37"/>
      <c r="HTG65" s="37"/>
      <c r="HTH65" s="37"/>
      <c r="HTI65" s="37"/>
      <c r="HTJ65" s="37"/>
      <c r="HTK65" s="37"/>
      <c r="HTL65" s="37"/>
      <c r="HTM65" s="37"/>
      <c r="HTN65" s="37"/>
      <c r="HTO65" s="37"/>
      <c r="HTP65" s="37"/>
      <c r="HTQ65" s="37"/>
      <c r="HTR65" s="37"/>
      <c r="HTS65" s="37"/>
      <c r="HTT65" s="37"/>
      <c r="HTU65" s="37"/>
      <c r="HTV65" s="37"/>
      <c r="HTW65" s="37"/>
      <c r="HTX65" s="37"/>
      <c r="HTY65" s="37"/>
      <c r="HTZ65" s="37"/>
      <c r="HUA65" s="37"/>
      <c r="HUB65" s="37"/>
      <c r="HUC65" s="37"/>
      <c r="HUD65" s="37"/>
      <c r="HUE65" s="37"/>
      <c r="HUF65" s="37"/>
      <c r="HUG65" s="37"/>
      <c r="HUH65" s="37"/>
      <c r="HUI65" s="37"/>
      <c r="HUJ65" s="37"/>
      <c r="HUK65" s="37"/>
      <c r="HUL65" s="37"/>
      <c r="HUM65" s="37"/>
      <c r="HUN65" s="37"/>
      <c r="HUO65" s="37"/>
      <c r="HUP65" s="37"/>
      <c r="HUQ65" s="37"/>
      <c r="HUR65" s="37"/>
      <c r="HUS65" s="37"/>
      <c r="HUT65" s="37"/>
      <c r="HUU65" s="37"/>
      <c r="HUV65" s="37"/>
      <c r="HUW65" s="37"/>
      <c r="HUX65" s="37"/>
      <c r="HUY65" s="37"/>
      <c r="HUZ65" s="37"/>
      <c r="HVA65" s="37"/>
      <c r="HVB65" s="37"/>
      <c r="HVC65" s="37"/>
      <c r="HVD65" s="37"/>
      <c r="HVE65" s="37"/>
      <c r="HVF65" s="37"/>
      <c r="HVG65" s="37"/>
      <c r="HVH65" s="37"/>
      <c r="HVI65" s="37"/>
      <c r="HVJ65" s="37"/>
      <c r="HVK65" s="37"/>
      <c r="HVL65" s="37"/>
      <c r="HVM65" s="37"/>
      <c r="HVN65" s="37"/>
      <c r="HVO65" s="37"/>
      <c r="HVP65" s="37"/>
      <c r="HVQ65" s="37"/>
      <c r="HVR65" s="37"/>
      <c r="HVS65" s="37"/>
      <c r="HVT65" s="37"/>
      <c r="HVU65" s="37"/>
      <c r="HVV65" s="37"/>
      <c r="HVW65" s="37"/>
      <c r="HVX65" s="37"/>
      <c r="HVY65" s="37"/>
      <c r="HVZ65" s="37"/>
      <c r="HWA65" s="37"/>
      <c r="HWB65" s="37"/>
      <c r="HWC65" s="37"/>
      <c r="HWD65" s="37"/>
      <c r="HWE65" s="37"/>
      <c r="HWF65" s="37"/>
      <c r="HWG65" s="37"/>
      <c r="HWH65" s="37"/>
      <c r="HWI65" s="37"/>
      <c r="HWJ65" s="37"/>
      <c r="HWK65" s="37"/>
      <c r="HWL65" s="37"/>
      <c r="HWM65" s="37"/>
      <c r="HWN65" s="37"/>
      <c r="HWO65" s="37"/>
      <c r="HWP65" s="37"/>
      <c r="HWQ65" s="37"/>
      <c r="HWR65" s="37"/>
      <c r="HWS65" s="37"/>
      <c r="HWT65" s="37"/>
      <c r="HWU65" s="37"/>
      <c r="HWV65" s="37"/>
      <c r="HWW65" s="37"/>
      <c r="HWX65" s="37"/>
      <c r="HWY65" s="37"/>
      <c r="HWZ65" s="37"/>
      <c r="HXA65" s="37"/>
      <c r="HXB65" s="37"/>
      <c r="HXC65" s="37"/>
      <c r="HXD65" s="37"/>
      <c r="HXE65" s="37"/>
      <c r="HXF65" s="37"/>
      <c r="HXG65" s="37"/>
      <c r="HXH65" s="37"/>
      <c r="HXI65" s="37"/>
      <c r="HXJ65" s="37"/>
      <c r="HXK65" s="37"/>
      <c r="HXL65" s="37"/>
      <c r="HXM65" s="37"/>
      <c r="HXN65" s="37"/>
      <c r="HXO65" s="37"/>
      <c r="HXP65" s="37"/>
      <c r="HXQ65" s="37"/>
      <c r="HXR65" s="37"/>
      <c r="HXS65" s="37"/>
      <c r="HXT65" s="37"/>
      <c r="HXU65" s="37"/>
      <c r="HXV65" s="37"/>
      <c r="HXW65" s="37"/>
      <c r="HXX65" s="37"/>
      <c r="HXY65" s="37"/>
      <c r="HXZ65" s="37"/>
      <c r="HYA65" s="37"/>
      <c r="HYB65" s="37"/>
      <c r="HYC65" s="37"/>
      <c r="HYD65" s="37"/>
      <c r="HYE65" s="37"/>
      <c r="HYF65" s="37"/>
      <c r="HYG65" s="37"/>
      <c r="HYH65" s="37"/>
      <c r="HYI65" s="37"/>
      <c r="HYJ65" s="37"/>
      <c r="HYK65" s="37"/>
      <c r="HYL65" s="37"/>
      <c r="HYM65" s="37"/>
      <c r="HYN65" s="37"/>
      <c r="HYO65" s="37"/>
      <c r="HYP65" s="37"/>
      <c r="HYQ65" s="37"/>
      <c r="HYR65" s="37"/>
      <c r="HYS65" s="37"/>
      <c r="HYT65" s="37"/>
      <c r="HYU65" s="37"/>
      <c r="HYV65" s="37"/>
      <c r="HYW65" s="37"/>
      <c r="HYX65" s="37"/>
      <c r="HYY65" s="37"/>
      <c r="HYZ65" s="37"/>
      <c r="HZA65" s="37"/>
      <c r="HZB65" s="37"/>
      <c r="HZC65" s="37"/>
      <c r="HZD65" s="37"/>
      <c r="HZE65" s="37"/>
      <c r="HZF65" s="37"/>
      <c r="HZG65" s="37"/>
      <c r="HZH65" s="37"/>
      <c r="HZI65" s="37"/>
      <c r="HZJ65" s="37"/>
      <c r="HZK65" s="37"/>
      <c r="HZL65" s="37"/>
      <c r="HZM65" s="37"/>
      <c r="HZN65" s="37"/>
      <c r="HZO65" s="37"/>
      <c r="HZP65" s="37"/>
      <c r="HZQ65" s="37"/>
      <c r="HZR65" s="37"/>
      <c r="HZS65" s="37"/>
      <c r="HZT65" s="37"/>
      <c r="HZU65" s="37"/>
      <c r="HZV65" s="37"/>
      <c r="HZW65" s="37"/>
      <c r="HZX65" s="37"/>
      <c r="HZY65" s="37"/>
      <c r="HZZ65" s="37"/>
      <c r="IAA65" s="37"/>
      <c r="IAB65" s="37"/>
      <c r="IAC65" s="37"/>
      <c r="IAD65" s="37"/>
      <c r="IAE65" s="37"/>
      <c r="IAF65" s="37"/>
      <c r="IAG65" s="37"/>
      <c r="IAH65" s="37"/>
      <c r="IAI65" s="37"/>
      <c r="IAJ65" s="37"/>
      <c r="IAK65" s="37"/>
      <c r="IAL65" s="37"/>
      <c r="IAM65" s="37"/>
      <c r="IAN65" s="37"/>
      <c r="IAO65" s="37"/>
      <c r="IAP65" s="37"/>
      <c r="IAQ65" s="37"/>
      <c r="IAR65" s="37"/>
      <c r="IAS65" s="37"/>
      <c r="IAT65" s="37"/>
      <c r="IAU65" s="37"/>
      <c r="IAV65" s="37"/>
      <c r="IAW65" s="37"/>
      <c r="IAX65" s="37"/>
      <c r="IAY65" s="37"/>
      <c r="IAZ65" s="37"/>
      <c r="IBA65" s="37"/>
      <c r="IBB65" s="37"/>
      <c r="IBC65" s="37"/>
      <c r="IBD65" s="37"/>
      <c r="IBE65" s="37"/>
      <c r="IBF65" s="37"/>
      <c r="IBG65" s="37"/>
      <c r="IBH65" s="37"/>
      <c r="IBI65" s="37"/>
      <c r="IBJ65" s="37"/>
      <c r="IBK65" s="37"/>
      <c r="IBL65" s="37"/>
      <c r="IBM65" s="37"/>
      <c r="IBN65" s="37"/>
      <c r="IBO65" s="37"/>
      <c r="IBP65" s="37"/>
      <c r="IBQ65" s="37"/>
      <c r="IBR65" s="37"/>
      <c r="IBS65" s="37"/>
      <c r="IBT65" s="37"/>
      <c r="IBU65" s="37"/>
      <c r="IBV65" s="37"/>
      <c r="IBW65" s="37"/>
      <c r="IBX65" s="37"/>
      <c r="IBY65" s="37"/>
      <c r="IBZ65" s="37"/>
      <c r="ICA65" s="37"/>
      <c r="ICB65" s="37"/>
      <c r="ICC65" s="37"/>
      <c r="ICD65" s="37"/>
      <c r="ICE65" s="37"/>
      <c r="ICF65" s="37"/>
      <c r="ICG65" s="37"/>
      <c r="ICH65" s="37"/>
      <c r="ICI65" s="37"/>
      <c r="ICJ65" s="37"/>
      <c r="ICK65" s="37"/>
      <c r="ICL65" s="37"/>
      <c r="ICM65" s="37"/>
      <c r="ICN65" s="37"/>
      <c r="ICO65" s="37"/>
      <c r="ICP65" s="37"/>
      <c r="ICQ65" s="37"/>
      <c r="ICR65" s="37"/>
      <c r="ICS65" s="37"/>
      <c r="ICT65" s="37"/>
      <c r="ICU65" s="37"/>
      <c r="ICV65" s="37"/>
      <c r="ICW65" s="37"/>
      <c r="ICX65" s="37"/>
      <c r="ICY65" s="37"/>
      <c r="ICZ65" s="37"/>
      <c r="IDA65" s="37"/>
      <c r="IDB65" s="37"/>
      <c r="IDC65" s="37"/>
      <c r="IDD65" s="37"/>
      <c r="IDE65" s="37"/>
      <c r="IDF65" s="37"/>
      <c r="IDG65" s="37"/>
      <c r="IDH65" s="37"/>
      <c r="IDI65" s="37"/>
      <c r="IDJ65" s="37"/>
      <c r="IDK65" s="37"/>
      <c r="IDL65" s="37"/>
      <c r="IDM65" s="37"/>
      <c r="IDN65" s="37"/>
      <c r="IDO65" s="37"/>
      <c r="IDP65" s="37"/>
      <c r="IDQ65" s="37"/>
      <c r="IDR65" s="37"/>
      <c r="IDS65" s="37"/>
      <c r="IDT65" s="37"/>
      <c r="IDU65" s="37"/>
      <c r="IDV65" s="37"/>
      <c r="IDW65" s="37"/>
      <c r="IDX65" s="37"/>
      <c r="IDY65" s="37"/>
      <c r="IDZ65" s="37"/>
      <c r="IEA65" s="37"/>
      <c r="IEB65" s="37"/>
      <c r="IEC65" s="37"/>
      <c r="IED65" s="37"/>
      <c r="IEE65" s="37"/>
      <c r="IEF65" s="37"/>
      <c r="IEG65" s="37"/>
      <c r="IEH65" s="37"/>
      <c r="IEI65" s="37"/>
      <c r="IEJ65" s="37"/>
      <c r="IEK65" s="37"/>
      <c r="IEL65" s="37"/>
      <c r="IEM65" s="37"/>
      <c r="IEN65" s="37"/>
      <c r="IEO65" s="37"/>
      <c r="IEP65" s="37"/>
      <c r="IEQ65" s="37"/>
      <c r="IER65" s="37"/>
      <c r="IES65" s="37"/>
      <c r="IET65" s="37"/>
      <c r="IEU65" s="37"/>
      <c r="IEV65" s="37"/>
      <c r="IEW65" s="37"/>
      <c r="IEX65" s="37"/>
      <c r="IEY65" s="37"/>
      <c r="IEZ65" s="37"/>
      <c r="IFA65" s="37"/>
      <c r="IFB65" s="37"/>
      <c r="IFC65" s="37"/>
      <c r="IFD65" s="37"/>
      <c r="IFE65" s="37"/>
      <c r="IFF65" s="37"/>
      <c r="IFG65" s="37"/>
      <c r="IFH65" s="37"/>
      <c r="IFI65" s="37"/>
      <c r="IFJ65" s="37"/>
      <c r="IFK65" s="37"/>
      <c r="IFL65" s="37"/>
      <c r="IFM65" s="37"/>
      <c r="IFN65" s="37"/>
      <c r="IFO65" s="37"/>
      <c r="IFP65" s="37"/>
      <c r="IFQ65" s="37"/>
      <c r="IFR65" s="37"/>
      <c r="IFS65" s="37"/>
      <c r="IFT65" s="37"/>
      <c r="IFU65" s="37"/>
      <c r="IFV65" s="37"/>
      <c r="IFW65" s="37"/>
      <c r="IFX65" s="37"/>
      <c r="IFY65" s="37"/>
      <c r="IFZ65" s="37"/>
      <c r="IGA65" s="37"/>
      <c r="IGB65" s="37"/>
      <c r="IGC65" s="37"/>
      <c r="IGD65" s="37"/>
      <c r="IGE65" s="37"/>
      <c r="IGF65" s="37"/>
      <c r="IGG65" s="37"/>
      <c r="IGH65" s="37"/>
      <c r="IGI65" s="37"/>
      <c r="IGJ65" s="37"/>
      <c r="IGK65" s="37"/>
      <c r="IGL65" s="37"/>
      <c r="IGM65" s="37"/>
      <c r="IGN65" s="37"/>
      <c r="IGO65" s="37"/>
      <c r="IGP65" s="37"/>
      <c r="IGQ65" s="37"/>
      <c r="IGR65" s="37"/>
      <c r="IGS65" s="37"/>
      <c r="IGT65" s="37"/>
      <c r="IGU65" s="37"/>
      <c r="IGV65" s="37"/>
      <c r="IGW65" s="37"/>
      <c r="IGX65" s="37"/>
      <c r="IGY65" s="37"/>
      <c r="IGZ65" s="37"/>
      <c r="IHA65" s="37"/>
      <c r="IHB65" s="37"/>
      <c r="IHC65" s="37"/>
      <c r="IHD65" s="37"/>
      <c r="IHE65" s="37"/>
      <c r="IHF65" s="37"/>
      <c r="IHG65" s="37"/>
      <c r="IHH65" s="37"/>
      <c r="IHI65" s="37"/>
      <c r="IHJ65" s="37"/>
      <c r="IHK65" s="37"/>
      <c r="IHL65" s="37"/>
      <c r="IHM65" s="37"/>
      <c r="IHN65" s="37"/>
      <c r="IHO65" s="37"/>
      <c r="IHP65" s="37"/>
      <c r="IHQ65" s="37"/>
      <c r="IHR65" s="37"/>
      <c r="IHS65" s="37"/>
      <c r="IHT65" s="37"/>
      <c r="IHU65" s="37"/>
      <c r="IHV65" s="37"/>
      <c r="IHW65" s="37"/>
      <c r="IHX65" s="37"/>
      <c r="IHY65" s="37"/>
      <c r="IHZ65" s="37"/>
      <c r="IIA65" s="37"/>
      <c r="IIB65" s="37"/>
      <c r="IIC65" s="37"/>
      <c r="IID65" s="37"/>
      <c r="IIE65" s="37"/>
      <c r="IIF65" s="37"/>
      <c r="IIG65" s="37"/>
      <c r="IIH65" s="37"/>
      <c r="III65" s="37"/>
      <c r="IIJ65" s="37"/>
      <c r="IIK65" s="37"/>
      <c r="IIL65" s="37"/>
      <c r="IIM65" s="37"/>
      <c r="IIN65" s="37"/>
      <c r="IIO65" s="37"/>
      <c r="IIP65" s="37"/>
      <c r="IIQ65" s="37"/>
      <c r="IIR65" s="37"/>
      <c r="IIS65" s="37"/>
      <c r="IIT65" s="37"/>
      <c r="IIU65" s="37"/>
      <c r="IIV65" s="37"/>
      <c r="IIW65" s="37"/>
      <c r="IIX65" s="37"/>
      <c r="IIY65" s="37"/>
      <c r="IIZ65" s="37"/>
      <c r="IJA65" s="37"/>
      <c r="IJB65" s="37"/>
      <c r="IJC65" s="37"/>
      <c r="IJD65" s="37"/>
      <c r="IJE65" s="37"/>
      <c r="IJF65" s="37"/>
      <c r="IJG65" s="37"/>
      <c r="IJH65" s="37"/>
      <c r="IJI65" s="37"/>
      <c r="IJJ65" s="37"/>
      <c r="IJK65" s="37"/>
      <c r="IJL65" s="37"/>
      <c r="IJM65" s="37"/>
      <c r="IJN65" s="37"/>
      <c r="IJO65" s="37"/>
      <c r="IJP65" s="37"/>
      <c r="IJQ65" s="37"/>
      <c r="IJR65" s="37"/>
      <c r="IJS65" s="37"/>
      <c r="IJT65" s="37"/>
      <c r="IJU65" s="37"/>
      <c r="IJV65" s="37"/>
      <c r="IJW65" s="37"/>
      <c r="IJX65" s="37"/>
      <c r="IJY65" s="37"/>
      <c r="IJZ65" s="37"/>
      <c r="IKA65" s="37"/>
      <c r="IKB65" s="37"/>
      <c r="IKC65" s="37"/>
      <c r="IKD65" s="37"/>
      <c r="IKE65" s="37"/>
      <c r="IKF65" s="37"/>
      <c r="IKG65" s="37"/>
      <c r="IKH65" s="37"/>
      <c r="IKI65" s="37"/>
      <c r="IKJ65" s="37"/>
      <c r="IKK65" s="37"/>
      <c r="IKL65" s="37"/>
      <c r="IKM65" s="37"/>
      <c r="IKN65" s="37"/>
      <c r="IKO65" s="37"/>
      <c r="IKP65" s="37"/>
      <c r="IKQ65" s="37"/>
      <c r="IKR65" s="37"/>
      <c r="IKS65" s="37"/>
      <c r="IKT65" s="37"/>
      <c r="IKU65" s="37"/>
      <c r="IKV65" s="37"/>
      <c r="IKW65" s="37"/>
      <c r="IKX65" s="37"/>
      <c r="IKY65" s="37"/>
      <c r="IKZ65" s="37"/>
      <c r="ILA65" s="37"/>
      <c r="ILB65" s="37"/>
      <c r="ILC65" s="37"/>
      <c r="ILD65" s="37"/>
      <c r="ILE65" s="37"/>
      <c r="ILF65" s="37"/>
      <c r="ILG65" s="37"/>
      <c r="ILH65" s="37"/>
      <c r="ILI65" s="37"/>
      <c r="ILJ65" s="37"/>
      <c r="ILK65" s="37"/>
      <c r="ILL65" s="37"/>
      <c r="ILM65" s="37"/>
      <c r="ILN65" s="37"/>
      <c r="ILO65" s="37"/>
      <c r="ILP65" s="37"/>
      <c r="ILQ65" s="37"/>
      <c r="ILR65" s="37"/>
      <c r="ILS65" s="37"/>
      <c r="ILT65" s="37"/>
      <c r="ILU65" s="37"/>
      <c r="ILV65" s="37"/>
      <c r="ILW65" s="37"/>
      <c r="ILX65" s="37"/>
      <c r="ILY65" s="37"/>
      <c r="ILZ65" s="37"/>
      <c r="IMA65" s="37"/>
      <c r="IMB65" s="37"/>
      <c r="IMC65" s="37"/>
      <c r="IMD65" s="37"/>
      <c r="IME65" s="37"/>
      <c r="IMF65" s="37"/>
      <c r="IMG65" s="37"/>
      <c r="IMH65" s="37"/>
      <c r="IMI65" s="37"/>
      <c r="IMJ65" s="37"/>
      <c r="IMK65" s="37"/>
      <c r="IML65" s="37"/>
      <c r="IMM65" s="37"/>
      <c r="IMN65" s="37"/>
      <c r="IMO65" s="37"/>
      <c r="IMP65" s="37"/>
      <c r="IMQ65" s="37"/>
      <c r="IMR65" s="37"/>
      <c r="IMS65" s="37"/>
      <c r="IMT65" s="37"/>
      <c r="IMU65" s="37"/>
      <c r="IMV65" s="37"/>
      <c r="IMW65" s="37"/>
      <c r="IMX65" s="37"/>
      <c r="IMY65" s="37"/>
      <c r="IMZ65" s="37"/>
      <c r="INA65" s="37"/>
      <c r="INB65" s="37"/>
      <c r="INC65" s="37"/>
      <c r="IND65" s="37"/>
      <c r="INE65" s="37"/>
      <c r="INF65" s="37"/>
      <c r="ING65" s="37"/>
      <c r="INH65" s="37"/>
      <c r="INI65" s="37"/>
      <c r="INJ65" s="37"/>
      <c r="INK65" s="37"/>
      <c r="INL65" s="37"/>
      <c r="INM65" s="37"/>
      <c r="INN65" s="37"/>
      <c r="INO65" s="37"/>
      <c r="INP65" s="37"/>
      <c r="INQ65" s="37"/>
      <c r="INR65" s="37"/>
      <c r="INS65" s="37"/>
      <c r="INT65" s="37"/>
      <c r="INU65" s="37"/>
      <c r="INV65" s="37"/>
      <c r="INW65" s="37"/>
      <c r="INX65" s="37"/>
      <c r="INY65" s="37"/>
      <c r="INZ65" s="37"/>
      <c r="IOA65" s="37"/>
      <c r="IOB65" s="37"/>
      <c r="IOC65" s="37"/>
      <c r="IOD65" s="37"/>
      <c r="IOE65" s="37"/>
      <c r="IOF65" s="37"/>
      <c r="IOG65" s="37"/>
      <c r="IOH65" s="37"/>
      <c r="IOI65" s="37"/>
      <c r="IOJ65" s="37"/>
      <c r="IOK65" s="37"/>
      <c r="IOL65" s="37"/>
      <c r="IOM65" s="37"/>
      <c r="ION65" s="37"/>
      <c r="IOO65" s="37"/>
      <c r="IOP65" s="37"/>
      <c r="IOQ65" s="37"/>
      <c r="IOR65" s="37"/>
      <c r="IOS65" s="37"/>
      <c r="IOT65" s="37"/>
      <c r="IOU65" s="37"/>
      <c r="IOV65" s="37"/>
      <c r="IOW65" s="37"/>
      <c r="IOX65" s="37"/>
      <c r="IOY65" s="37"/>
      <c r="IOZ65" s="37"/>
      <c r="IPA65" s="37"/>
      <c r="IPB65" s="37"/>
      <c r="IPC65" s="37"/>
      <c r="IPD65" s="37"/>
      <c r="IPE65" s="37"/>
      <c r="IPF65" s="37"/>
      <c r="IPG65" s="37"/>
      <c r="IPH65" s="37"/>
      <c r="IPI65" s="37"/>
      <c r="IPJ65" s="37"/>
      <c r="IPK65" s="37"/>
      <c r="IPL65" s="37"/>
      <c r="IPM65" s="37"/>
      <c r="IPN65" s="37"/>
      <c r="IPO65" s="37"/>
      <c r="IPP65" s="37"/>
      <c r="IPQ65" s="37"/>
      <c r="IPR65" s="37"/>
      <c r="IPS65" s="37"/>
      <c r="IPT65" s="37"/>
      <c r="IPU65" s="37"/>
      <c r="IPV65" s="37"/>
      <c r="IPW65" s="37"/>
      <c r="IPX65" s="37"/>
      <c r="IPY65" s="37"/>
      <c r="IPZ65" s="37"/>
      <c r="IQA65" s="37"/>
      <c r="IQB65" s="37"/>
      <c r="IQC65" s="37"/>
      <c r="IQD65" s="37"/>
      <c r="IQE65" s="37"/>
      <c r="IQF65" s="37"/>
      <c r="IQG65" s="37"/>
      <c r="IQH65" s="37"/>
      <c r="IQI65" s="37"/>
      <c r="IQJ65" s="37"/>
      <c r="IQK65" s="37"/>
      <c r="IQL65" s="37"/>
      <c r="IQM65" s="37"/>
      <c r="IQN65" s="37"/>
      <c r="IQO65" s="37"/>
      <c r="IQP65" s="37"/>
      <c r="IQQ65" s="37"/>
      <c r="IQR65" s="37"/>
      <c r="IQS65" s="37"/>
      <c r="IQT65" s="37"/>
      <c r="IQU65" s="37"/>
      <c r="IQV65" s="37"/>
      <c r="IQW65" s="37"/>
      <c r="IQX65" s="37"/>
      <c r="IQY65" s="37"/>
      <c r="IQZ65" s="37"/>
      <c r="IRA65" s="37"/>
      <c r="IRB65" s="37"/>
      <c r="IRC65" s="37"/>
      <c r="IRD65" s="37"/>
      <c r="IRE65" s="37"/>
      <c r="IRF65" s="37"/>
      <c r="IRG65" s="37"/>
      <c r="IRH65" s="37"/>
      <c r="IRI65" s="37"/>
      <c r="IRJ65" s="37"/>
      <c r="IRK65" s="37"/>
      <c r="IRL65" s="37"/>
      <c r="IRM65" s="37"/>
      <c r="IRN65" s="37"/>
      <c r="IRO65" s="37"/>
      <c r="IRP65" s="37"/>
      <c r="IRQ65" s="37"/>
      <c r="IRR65" s="37"/>
      <c r="IRS65" s="37"/>
      <c r="IRT65" s="37"/>
      <c r="IRU65" s="37"/>
      <c r="IRV65" s="37"/>
      <c r="IRW65" s="37"/>
      <c r="IRX65" s="37"/>
      <c r="IRY65" s="37"/>
      <c r="IRZ65" s="37"/>
      <c r="ISA65" s="37"/>
      <c r="ISB65" s="37"/>
      <c r="ISC65" s="37"/>
      <c r="ISD65" s="37"/>
      <c r="ISE65" s="37"/>
      <c r="ISF65" s="37"/>
      <c r="ISG65" s="37"/>
      <c r="ISH65" s="37"/>
      <c r="ISI65" s="37"/>
      <c r="ISJ65" s="37"/>
      <c r="ISK65" s="37"/>
      <c r="ISL65" s="37"/>
      <c r="ISM65" s="37"/>
      <c r="ISN65" s="37"/>
      <c r="ISO65" s="37"/>
      <c r="ISP65" s="37"/>
      <c r="ISQ65" s="37"/>
      <c r="ISR65" s="37"/>
      <c r="ISS65" s="37"/>
      <c r="IST65" s="37"/>
      <c r="ISU65" s="37"/>
      <c r="ISV65" s="37"/>
      <c r="ISW65" s="37"/>
      <c r="ISX65" s="37"/>
      <c r="ISY65" s="37"/>
      <c r="ISZ65" s="37"/>
      <c r="ITA65" s="37"/>
      <c r="ITB65" s="37"/>
      <c r="ITC65" s="37"/>
      <c r="ITD65" s="37"/>
      <c r="ITE65" s="37"/>
      <c r="ITF65" s="37"/>
      <c r="ITG65" s="37"/>
      <c r="ITH65" s="37"/>
      <c r="ITI65" s="37"/>
      <c r="ITJ65" s="37"/>
      <c r="ITK65" s="37"/>
      <c r="ITL65" s="37"/>
      <c r="ITM65" s="37"/>
      <c r="ITN65" s="37"/>
      <c r="ITO65" s="37"/>
      <c r="ITP65" s="37"/>
      <c r="ITQ65" s="37"/>
      <c r="ITR65" s="37"/>
      <c r="ITS65" s="37"/>
      <c r="ITT65" s="37"/>
      <c r="ITU65" s="37"/>
      <c r="ITV65" s="37"/>
      <c r="ITW65" s="37"/>
      <c r="ITX65" s="37"/>
      <c r="ITY65" s="37"/>
      <c r="ITZ65" s="37"/>
      <c r="IUA65" s="37"/>
      <c r="IUB65" s="37"/>
      <c r="IUC65" s="37"/>
      <c r="IUD65" s="37"/>
      <c r="IUE65" s="37"/>
      <c r="IUF65" s="37"/>
      <c r="IUG65" s="37"/>
      <c r="IUH65" s="37"/>
      <c r="IUI65" s="37"/>
      <c r="IUJ65" s="37"/>
      <c r="IUK65" s="37"/>
      <c r="IUL65" s="37"/>
      <c r="IUM65" s="37"/>
      <c r="IUN65" s="37"/>
      <c r="IUO65" s="37"/>
      <c r="IUP65" s="37"/>
      <c r="IUQ65" s="37"/>
      <c r="IUR65" s="37"/>
      <c r="IUS65" s="37"/>
      <c r="IUT65" s="37"/>
      <c r="IUU65" s="37"/>
      <c r="IUV65" s="37"/>
      <c r="IUW65" s="37"/>
      <c r="IUX65" s="37"/>
      <c r="IUY65" s="37"/>
      <c r="IUZ65" s="37"/>
      <c r="IVA65" s="37"/>
      <c r="IVB65" s="37"/>
      <c r="IVC65" s="37"/>
      <c r="IVD65" s="37"/>
      <c r="IVE65" s="37"/>
      <c r="IVF65" s="37"/>
      <c r="IVG65" s="37"/>
      <c r="IVH65" s="37"/>
      <c r="IVI65" s="37"/>
      <c r="IVJ65" s="37"/>
      <c r="IVK65" s="37"/>
      <c r="IVL65" s="37"/>
      <c r="IVM65" s="37"/>
      <c r="IVN65" s="37"/>
      <c r="IVO65" s="37"/>
      <c r="IVP65" s="37"/>
      <c r="IVQ65" s="37"/>
      <c r="IVR65" s="37"/>
      <c r="IVS65" s="37"/>
      <c r="IVT65" s="37"/>
      <c r="IVU65" s="37"/>
      <c r="IVV65" s="37"/>
      <c r="IVW65" s="37"/>
      <c r="IVX65" s="37"/>
      <c r="IVY65" s="37"/>
      <c r="IVZ65" s="37"/>
      <c r="IWA65" s="37"/>
      <c r="IWB65" s="37"/>
      <c r="IWC65" s="37"/>
      <c r="IWD65" s="37"/>
      <c r="IWE65" s="37"/>
      <c r="IWF65" s="37"/>
      <c r="IWG65" s="37"/>
      <c r="IWH65" s="37"/>
      <c r="IWI65" s="37"/>
      <c r="IWJ65" s="37"/>
      <c r="IWK65" s="37"/>
      <c r="IWL65" s="37"/>
      <c r="IWM65" s="37"/>
      <c r="IWN65" s="37"/>
      <c r="IWO65" s="37"/>
      <c r="IWP65" s="37"/>
      <c r="IWQ65" s="37"/>
      <c r="IWR65" s="37"/>
      <c r="IWS65" s="37"/>
      <c r="IWT65" s="37"/>
      <c r="IWU65" s="37"/>
      <c r="IWV65" s="37"/>
      <c r="IWW65" s="37"/>
      <c r="IWX65" s="37"/>
      <c r="IWY65" s="37"/>
      <c r="IWZ65" s="37"/>
      <c r="IXA65" s="37"/>
      <c r="IXB65" s="37"/>
      <c r="IXC65" s="37"/>
      <c r="IXD65" s="37"/>
      <c r="IXE65" s="37"/>
      <c r="IXF65" s="37"/>
      <c r="IXG65" s="37"/>
      <c r="IXH65" s="37"/>
      <c r="IXI65" s="37"/>
      <c r="IXJ65" s="37"/>
      <c r="IXK65" s="37"/>
      <c r="IXL65" s="37"/>
      <c r="IXM65" s="37"/>
      <c r="IXN65" s="37"/>
      <c r="IXO65" s="37"/>
      <c r="IXP65" s="37"/>
      <c r="IXQ65" s="37"/>
      <c r="IXR65" s="37"/>
      <c r="IXS65" s="37"/>
      <c r="IXT65" s="37"/>
      <c r="IXU65" s="37"/>
      <c r="IXV65" s="37"/>
      <c r="IXW65" s="37"/>
      <c r="IXX65" s="37"/>
      <c r="IXY65" s="37"/>
      <c r="IXZ65" s="37"/>
      <c r="IYA65" s="37"/>
      <c r="IYB65" s="37"/>
      <c r="IYC65" s="37"/>
      <c r="IYD65" s="37"/>
      <c r="IYE65" s="37"/>
      <c r="IYF65" s="37"/>
      <c r="IYG65" s="37"/>
      <c r="IYH65" s="37"/>
      <c r="IYI65" s="37"/>
      <c r="IYJ65" s="37"/>
      <c r="IYK65" s="37"/>
      <c r="IYL65" s="37"/>
      <c r="IYM65" s="37"/>
      <c r="IYN65" s="37"/>
      <c r="IYO65" s="37"/>
      <c r="IYP65" s="37"/>
      <c r="IYQ65" s="37"/>
      <c r="IYR65" s="37"/>
      <c r="IYS65" s="37"/>
      <c r="IYT65" s="37"/>
      <c r="IYU65" s="37"/>
      <c r="IYV65" s="37"/>
      <c r="IYW65" s="37"/>
      <c r="IYX65" s="37"/>
      <c r="IYY65" s="37"/>
      <c r="IYZ65" s="37"/>
      <c r="IZA65" s="37"/>
      <c r="IZB65" s="37"/>
      <c r="IZC65" s="37"/>
      <c r="IZD65" s="37"/>
      <c r="IZE65" s="37"/>
      <c r="IZF65" s="37"/>
      <c r="IZG65" s="37"/>
      <c r="IZH65" s="37"/>
      <c r="IZI65" s="37"/>
      <c r="IZJ65" s="37"/>
      <c r="IZK65" s="37"/>
      <c r="IZL65" s="37"/>
      <c r="IZM65" s="37"/>
      <c r="IZN65" s="37"/>
      <c r="IZO65" s="37"/>
      <c r="IZP65" s="37"/>
      <c r="IZQ65" s="37"/>
      <c r="IZR65" s="37"/>
      <c r="IZS65" s="37"/>
      <c r="IZT65" s="37"/>
      <c r="IZU65" s="37"/>
      <c r="IZV65" s="37"/>
      <c r="IZW65" s="37"/>
      <c r="IZX65" s="37"/>
      <c r="IZY65" s="37"/>
      <c r="IZZ65" s="37"/>
      <c r="JAA65" s="37"/>
      <c r="JAB65" s="37"/>
      <c r="JAC65" s="37"/>
      <c r="JAD65" s="37"/>
      <c r="JAE65" s="37"/>
      <c r="JAF65" s="37"/>
      <c r="JAG65" s="37"/>
      <c r="JAH65" s="37"/>
      <c r="JAI65" s="37"/>
      <c r="JAJ65" s="37"/>
      <c r="JAK65" s="37"/>
      <c r="JAL65" s="37"/>
      <c r="JAM65" s="37"/>
      <c r="JAN65" s="37"/>
      <c r="JAO65" s="37"/>
      <c r="JAP65" s="37"/>
      <c r="JAQ65" s="37"/>
      <c r="JAR65" s="37"/>
      <c r="JAS65" s="37"/>
      <c r="JAT65" s="37"/>
      <c r="JAU65" s="37"/>
      <c r="JAV65" s="37"/>
      <c r="JAW65" s="37"/>
      <c r="JAX65" s="37"/>
      <c r="JAY65" s="37"/>
      <c r="JAZ65" s="37"/>
      <c r="JBA65" s="37"/>
      <c r="JBB65" s="37"/>
      <c r="JBC65" s="37"/>
      <c r="JBD65" s="37"/>
      <c r="JBE65" s="37"/>
      <c r="JBF65" s="37"/>
      <c r="JBG65" s="37"/>
      <c r="JBH65" s="37"/>
      <c r="JBI65" s="37"/>
      <c r="JBJ65" s="37"/>
      <c r="JBK65" s="37"/>
      <c r="JBL65" s="37"/>
      <c r="JBM65" s="37"/>
      <c r="JBN65" s="37"/>
      <c r="JBO65" s="37"/>
      <c r="JBP65" s="37"/>
      <c r="JBQ65" s="37"/>
      <c r="JBR65" s="37"/>
      <c r="JBS65" s="37"/>
      <c r="JBT65" s="37"/>
      <c r="JBU65" s="37"/>
      <c r="JBV65" s="37"/>
      <c r="JBW65" s="37"/>
      <c r="JBX65" s="37"/>
      <c r="JBY65" s="37"/>
      <c r="JBZ65" s="37"/>
      <c r="JCA65" s="37"/>
      <c r="JCB65" s="37"/>
      <c r="JCC65" s="37"/>
      <c r="JCD65" s="37"/>
      <c r="JCE65" s="37"/>
      <c r="JCF65" s="37"/>
      <c r="JCG65" s="37"/>
      <c r="JCH65" s="37"/>
      <c r="JCI65" s="37"/>
      <c r="JCJ65" s="37"/>
      <c r="JCK65" s="37"/>
      <c r="JCL65" s="37"/>
      <c r="JCM65" s="37"/>
      <c r="JCN65" s="37"/>
      <c r="JCO65" s="37"/>
      <c r="JCP65" s="37"/>
      <c r="JCQ65" s="37"/>
      <c r="JCR65" s="37"/>
      <c r="JCS65" s="37"/>
      <c r="JCT65" s="37"/>
      <c r="JCU65" s="37"/>
      <c r="JCV65" s="37"/>
      <c r="JCW65" s="37"/>
      <c r="JCX65" s="37"/>
      <c r="JCY65" s="37"/>
      <c r="JCZ65" s="37"/>
      <c r="JDA65" s="37"/>
      <c r="JDB65" s="37"/>
      <c r="JDC65" s="37"/>
      <c r="JDD65" s="37"/>
      <c r="JDE65" s="37"/>
      <c r="JDF65" s="37"/>
      <c r="JDG65" s="37"/>
      <c r="JDH65" s="37"/>
      <c r="JDI65" s="37"/>
      <c r="JDJ65" s="37"/>
      <c r="JDK65" s="37"/>
      <c r="JDL65" s="37"/>
      <c r="JDM65" s="37"/>
      <c r="JDN65" s="37"/>
      <c r="JDO65" s="37"/>
      <c r="JDP65" s="37"/>
      <c r="JDQ65" s="37"/>
      <c r="JDR65" s="37"/>
      <c r="JDS65" s="37"/>
      <c r="JDT65" s="37"/>
      <c r="JDU65" s="37"/>
      <c r="JDV65" s="37"/>
      <c r="JDW65" s="37"/>
      <c r="JDX65" s="37"/>
      <c r="JDY65" s="37"/>
      <c r="JDZ65" s="37"/>
      <c r="JEA65" s="37"/>
      <c r="JEB65" s="37"/>
      <c r="JEC65" s="37"/>
      <c r="JED65" s="37"/>
      <c r="JEE65" s="37"/>
      <c r="JEF65" s="37"/>
      <c r="JEG65" s="37"/>
      <c r="JEH65" s="37"/>
      <c r="JEI65" s="37"/>
      <c r="JEJ65" s="37"/>
      <c r="JEK65" s="37"/>
      <c r="JEL65" s="37"/>
      <c r="JEM65" s="37"/>
      <c r="JEN65" s="37"/>
      <c r="JEO65" s="37"/>
      <c r="JEP65" s="37"/>
      <c r="JEQ65" s="37"/>
      <c r="JER65" s="37"/>
      <c r="JES65" s="37"/>
      <c r="JET65" s="37"/>
      <c r="JEU65" s="37"/>
      <c r="JEV65" s="37"/>
      <c r="JEW65" s="37"/>
      <c r="JEX65" s="37"/>
      <c r="JEY65" s="37"/>
      <c r="JEZ65" s="37"/>
      <c r="JFA65" s="37"/>
      <c r="JFB65" s="37"/>
      <c r="JFC65" s="37"/>
      <c r="JFD65" s="37"/>
      <c r="JFE65" s="37"/>
      <c r="JFF65" s="37"/>
      <c r="JFG65" s="37"/>
      <c r="JFH65" s="37"/>
      <c r="JFI65" s="37"/>
      <c r="JFJ65" s="37"/>
      <c r="JFK65" s="37"/>
      <c r="JFL65" s="37"/>
      <c r="JFM65" s="37"/>
      <c r="JFN65" s="37"/>
      <c r="JFO65" s="37"/>
      <c r="JFP65" s="37"/>
      <c r="JFQ65" s="37"/>
      <c r="JFR65" s="37"/>
      <c r="JFS65" s="37"/>
      <c r="JFT65" s="37"/>
      <c r="JFU65" s="37"/>
      <c r="JFV65" s="37"/>
      <c r="JFW65" s="37"/>
      <c r="JFX65" s="37"/>
      <c r="JFY65" s="37"/>
      <c r="JFZ65" s="37"/>
      <c r="JGA65" s="37"/>
      <c r="JGB65" s="37"/>
      <c r="JGC65" s="37"/>
      <c r="JGD65" s="37"/>
      <c r="JGE65" s="37"/>
      <c r="JGF65" s="37"/>
      <c r="JGG65" s="37"/>
      <c r="JGH65" s="37"/>
      <c r="JGI65" s="37"/>
      <c r="JGJ65" s="37"/>
      <c r="JGK65" s="37"/>
      <c r="JGL65" s="37"/>
      <c r="JGM65" s="37"/>
      <c r="JGN65" s="37"/>
      <c r="JGO65" s="37"/>
      <c r="JGP65" s="37"/>
      <c r="JGQ65" s="37"/>
      <c r="JGR65" s="37"/>
      <c r="JGS65" s="37"/>
      <c r="JGT65" s="37"/>
      <c r="JGU65" s="37"/>
      <c r="JGV65" s="37"/>
      <c r="JGW65" s="37"/>
      <c r="JGX65" s="37"/>
      <c r="JGY65" s="37"/>
      <c r="JGZ65" s="37"/>
      <c r="JHA65" s="37"/>
      <c r="JHB65" s="37"/>
      <c r="JHC65" s="37"/>
      <c r="JHD65" s="37"/>
      <c r="JHE65" s="37"/>
      <c r="JHF65" s="37"/>
      <c r="JHG65" s="37"/>
      <c r="JHH65" s="37"/>
      <c r="JHI65" s="37"/>
      <c r="JHJ65" s="37"/>
      <c r="JHK65" s="37"/>
      <c r="JHL65" s="37"/>
      <c r="JHM65" s="37"/>
      <c r="JHN65" s="37"/>
      <c r="JHO65" s="37"/>
      <c r="JHP65" s="37"/>
      <c r="JHQ65" s="37"/>
      <c r="JHR65" s="37"/>
      <c r="JHS65" s="37"/>
      <c r="JHT65" s="37"/>
      <c r="JHU65" s="37"/>
      <c r="JHV65" s="37"/>
      <c r="JHW65" s="37"/>
      <c r="JHX65" s="37"/>
      <c r="JHY65" s="37"/>
      <c r="JHZ65" s="37"/>
      <c r="JIA65" s="37"/>
      <c r="JIB65" s="37"/>
      <c r="JIC65" s="37"/>
      <c r="JID65" s="37"/>
      <c r="JIE65" s="37"/>
      <c r="JIF65" s="37"/>
      <c r="JIG65" s="37"/>
      <c r="JIH65" s="37"/>
      <c r="JII65" s="37"/>
      <c r="JIJ65" s="37"/>
      <c r="JIK65" s="37"/>
      <c r="JIL65" s="37"/>
      <c r="JIM65" s="37"/>
      <c r="JIN65" s="37"/>
      <c r="JIO65" s="37"/>
      <c r="JIP65" s="37"/>
      <c r="JIQ65" s="37"/>
      <c r="JIR65" s="37"/>
      <c r="JIS65" s="37"/>
      <c r="JIT65" s="37"/>
      <c r="JIU65" s="37"/>
      <c r="JIV65" s="37"/>
      <c r="JIW65" s="37"/>
      <c r="JIX65" s="37"/>
      <c r="JIY65" s="37"/>
      <c r="JIZ65" s="37"/>
      <c r="JJA65" s="37"/>
      <c r="JJB65" s="37"/>
      <c r="JJC65" s="37"/>
      <c r="JJD65" s="37"/>
      <c r="JJE65" s="37"/>
      <c r="JJF65" s="37"/>
      <c r="JJG65" s="37"/>
      <c r="JJH65" s="37"/>
      <c r="JJI65" s="37"/>
      <c r="JJJ65" s="37"/>
      <c r="JJK65" s="37"/>
      <c r="JJL65" s="37"/>
      <c r="JJM65" s="37"/>
      <c r="JJN65" s="37"/>
      <c r="JJO65" s="37"/>
      <c r="JJP65" s="37"/>
      <c r="JJQ65" s="37"/>
      <c r="JJR65" s="37"/>
      <c r="JJS65" s="37"/>
      <c r="JJT65" s="37"/>
      <c r="JJU65" s="37"/>
      <c r="JJV65" s="37"/>
      <c r="JJW65" s="37"/>
      <c r="JJX65" s="37"/>
      <c r="JJY65" s="37"/>
      <c r="JJZ65" s="37"/>
      <c r="JKA65" s="37"/>
      <c r="JKB65" s="37"/>
      <c r="JKC65" s="37"/>
      <c r="JKD65" s="37"/>
      <c r="JKE65" s="37"/>
      <c r="JKF65" s="37"/>
      <c r="JKG65" s="37"/>
      <c r="JKH65" s="37"/>
      <c r="JKI65" s="37"/>
      <c r="JKJ65" s="37"/>
      <c r="JKK65" s="37"/>
      <c r="JKL65" s="37"/>
      <c r="JKM65" s="37"/>
      <c r="JKN65" s="37"/>
      <c r="JKO65" s="37"/>
      <c r="JKP65" s="37"/>
      <c r="JKQ65" s="37"/>
      <c r="JKR65" s="37"/>
      <c r="JKS65" s="37"/>
      <c r="JKT65" s="37"/>
      <c r="JKU65" s="37"/>
      <c r="JKV65" s="37"/>
      <c r="JKW65" s="37"/>
      <c r="JKX65" s="37"/>
      <c r="JKY65" s="37"/>
      <c r="JKZ65" s="37"/>
      <c r="JLA65" s="37"/>
      <c r="JLB65" s="37"/>
      <c r="JLC65" s="37"/>
      <c r="JLD65" s="37"/>
      <c r="JLE65" s="37"/>
      <c r="JLF65" s="37"/>
      <c r="JLG65" s="37"/>
      <c r="JLH65" s="37"/>
      <c r="JLI65" s="37"/>
      <c r="JLJ65" s="37"/>
      <c r="JLK65" s="37"/>
      <c r="JLL65" s="37"/>
      <c r="JLM65" s="37"/>
      <c r="JLN65" s="37"/>
      <c r="JLO65" s="37"/>
      <c r="JLP65" s="37"/>
      <c r="JLQ65" s="37"/>
      <c r="JLR65" s="37"/>
      <c r="JLS65" s="37"/>
      <c r="JLT65" s="37"/>
      <c r="JLU65" s="37"/>
      <c r="JLV65" s="37"/>
      <c r="JLW65" s="37"/>
      <c r="JLX65" s="37"/>
      <c r="JLY65" s="37"/>
      <c r="JLZ65" s="37"/>
      <c r="JMA65" s="37"/>
      <c r="JMB65" s="37"/>
      <c r="JMC65" s="37"/>
      <c r="JMD65" s="37"/>
      <c r="JME65" s="37"/>
      <c r="JMF65" s="37"/>
      <c r="JMG65" s="37"/>
      <c r="JMH65" s="37"/>
      <c r="JMI65" s="37"/>
      <c r="JMJ65" s="37"/>
      <c r="JMK65" s="37"/>
      <c r="JML65" s="37"/>
      <c r="JMM65" s="37"/>
      <c r="JMN65" s="37"/>
      <c r="JMO65" s="37"/>
      <c r="JMP65" s="37"/>
      <c r="JMQ65" s="37"/>
      <c r="JMR65" s="37"/>
      <c r="JMS65" s="37"/>
      <c r="JMT65" s="37"/>
      <c r="JMU65" s="37"/>
      <c r="JMV65" s="37"/>
      <c r="JMW65" s="37"/>
      <c r="JMX65" s="37"/>
      <c r="JMY65" s="37"/>
      <c r="JMZ65" s="37"/>
      <c r="JNA65" s="37"/>
      <c r="JNB65" s="37"/>
      <c r="JNC65" s="37"/>
      <c r="JND65" s="37"/>
      <c r="JNE65" s="37"/>
      <c r="JNF65" s="37"/>
      <c r="JNG65" s="37"/>
      <c r="JNH65" s="37"/>
      <c r="JNI65" s="37"/>
      <c r="JNJ65" s="37"/>
      <c r="JNK65" s="37"/>
      <c r="JNL65" s="37"/>
      <c r="JNM65" s="37"/>
      <c r="JNN65" s="37"/>
      <c r="JNO65" s="37"/>
      <c r="JNP65" s="37"/>
      <c r="JNQ65" s="37"/>
      <c r="JNR65" s="37"/>
      <c r="JNS65" s="37"/>
      <c r="JNT65" s="37"/>
      <c r="JNU65" s="37"/>
      <c r="JNV65" s="37"/>
      <c r="JNW65" s="37"/>
      <c r="JNX65" s="37"/>
      <c r="JNY65" s="37"/>
      <c r="JNZ65" s="37"/>
      <c r="JOA65" s="37"/>
      <c r="JOB65" s="37"/>
      <c r="JOC65" s="37"/>
      <c r="JOD65" s="37"/>
      <c r="JOE65" s="37"/>
      <c r="JOF65" s="37"/>
      <c r="JOG65" s="37"/>
      <c r="JOH65" s="37"/>
      <c r="JOI65" s="37"/>
      <c r="JOJ65" s="37"/>
      <c r="JOK65" s="37"/>
      <c r="JOL65" s="37"/>
      <c r="JOM65" s="37"/>
      <c r="JON65" s="37"/>
      <c r="JOO65" s="37"/>
      <c r="JOP65" s="37"/>
      <c r="JOQ65" s="37"/>
      <c r="JOR65" s="37"/>
      <c r="JOS65" s="37"/>
      <c r="JOT65" s="37"/>
      <c r="JOU65" s="37"/>
      <c r="JOV65" s="37"/>
      <c r="JOW65" s="37"/>
      <c r="JOX65" s="37"/>
      <c r="JOY65" s="37"/>
      <c r="JOZ65" s="37"/>
      <c r="JPA65" s="37"/>
      <c r="JPB65" s="37"/>
      <c r="JPC65" s="37"/>
      <c r="JPD65" s="37"/>
      <c r="JPE65" s="37"/>
      <c r="JPF65" s="37"/>
      <c r="JPG65" s="37"/>
      <c r="JPH65" s="37"/>
      <c r="JPI65" s="37"/>
      <c r="JPJ65" s="37"/>
      <c r="JPK65" s="37"/>
      <c r="JPL65" s="37"/>
      <c r="JPM65" s="37"/>
      <c r="JPN65" s="37"/>
      <c r="JPO65" s="37"/>
      <c r="JPP65" s="37"/>
      <c r="JPQ65" s="37"/>
      <c r="JPR65" s="37"/>
      <c r="JPS65" s="37"/>
      <c r="JPT65" s="37"/>
      <c r="JPU65" s="37"/>
      <c r="JPV65" s="37"/>
      <c r="JPW65" s="37"/>
      <c r="JPX65" s="37"/>
      <c r="JPY65" s="37"/>
      <c r="JPZ65" s="37"/>
      <c r="JQA65" s="37"/>
      <c r="JQB65" s="37"/>
      <c r="JQC65" s="37"/>
      <c r="JQD65" s="37"/>
      <c r="JQE65" s="37"/>
      <c r="JQF65" s="37"/>
      <c r="JQG65" s="37"/>
      <c r="JQH65" s="37"/>
      <c r="JQI65" s="37"/>
      <c r="JQJ65" s="37"/>
      <c r="JQK65" s="37"/>
      <c r="JQL65" s="37"/>
      <c r="JQM65" s="37"/>
      <c r="JQN65" s="37"/>
      <c r="JQO65" s="37"/>
      <c r="JQP65" s="37"/>
      <c r="JQQ65" s="37"/>
      <c r="JQR65" s="37"/>
      <c r="JQS65" s="37"/>
      <c r="JQT65" s="37"/>
      <c r="JQU65" s="37"/>
      <c r="JQV65" s="37"/>
      <c r="JQW65" s="37"/>
      <c r="JQX65" s="37"/>
      <c r="JQY65" s="37"/>
      <c r="JQZ65" s="37"/>
      <c r="JRA65" s="37"/>
      <c r="JRB65" s="37"/>
      <c r="JRC65" s="37"/>
      <c r="JRD65" s="37"/>
      <c r="JRE65" s="37"/>
      <c r="JRF65" s="37"/>
      <c r="JRG65" s="37"/>
      <c r="JRH65" s="37"/>
      <c r="JRI65" s="37"/>
      <c r="JRJ65" s="37"/>
      <c r="JRK65" s="37"/>
      <c r="JRL65" s="37"/>
      <c r="JRM65" s="37"/>
      <c r="JRN65" s="37"/>
      <c r="JRO65" s="37"/>
      <c r="JRP65" s="37"/>
      <c r="JRQ65" s="37"/>
      <c r="JRR65" s="37"/>
      <c r="JRS65" s="37"/>
      <c r="JRT65" s="37"/>
      <c r="JRU65" s="37"/>
      <c r="JRV65" s="37"/>
      <c r="JRW65" s="37"/>
      <c r="JRX65" s="37"/>
      <c r="JRY65" s="37"/>
      <c r="JRZ65" s="37"/>
      <c r="JSA65" s="37"/>
      <c r="JSB65" s="37"/>
      <c r="JSC65" s="37"/>
      <c r="JSD65" s="37"/>
      <c r="JSE65" s="37"/>
      <c r="JSF65" s="37"/>
      <c r="JSG65" s="37"/>
      <c r="JSH65" s="37"/>
      <c r="JSI65" s="37"/>
      <c r="JSJ65" s="37"/>
      <c r="JSK65" s="37"/>
      <c r="JSL65" s="37"/>
      <c r="JSM65" s="37"/>
      <c r="JSN65" s="37"/>
      <c r="JSO65" s="37"/>
      <c r="JSP65" s="37"/>
      <c r="JSQ65" s="37"/>
      <c r="JSR65" s="37"/>
      <c r="JSS65" s="37"/>
      <c r="JST65" s="37"/>
      <c r="JSU65" s="37"/>
      <c r="JSV65" s="37"/>
      <c r="JSW65" s="37"/>
      <c r="JSX65" s="37"/>
      <c r="JSY65" s="37"/>
      <c r="JSZ65" s="37"/>
      <c r="JTA65" s="37"/>
      <c r="JTB65" s="37"/>
      <c r="JTC65" s="37"/>
      <c r="JTD65" s="37"/>
      <c r="JTE65" s="37"/>
      <c r="JTF65" s="37"/>
      <c r="JTG65" s="37"/>
      <c r="JTH65" s="37"/>
      <c r="JTI65" s="37"/>
      <c r="JTJ65" s="37"/>
      <c r="JTK65" s="37"/>
      <c r="JTL65" s="37"/>
      <c r="JTM65" s="37"/>
      <c r="JTN65" s="37"/>
      <c r="JTO65" s="37"/>
      <c r="JTP65" s="37"/>
      <c r="JTQ65" s="37"/>
      <c r="JTR65" s="37"/>
      <c r="JTS65" s="37"/>
      <c r="JTT65" s="37"/>
      <c r="JTU65" s="37"/>
      <c r="JTV65" s="37"/>
      <c r="JTW65" s="37"/>
      <c r="JTX65" s="37"/>
      <c r="JTY65" s="37"/>
      <c r="JTZ65" s="37"/>
      <c r="JUA65" s="37"/>
      <c r="JUB65" s="37"/>
      <c r="JUC65" s="37"/>
      <c r="JUD65" s="37"/>
      <c r="JUE65" s="37"/>
      <c r="JUF65" s="37"/>
      <c r="JUG65" s="37"/>
      <c r="JUH65" s="37"/>
      <c r="JUI65" s="37"/>
      <c r="JUJ65" s="37"/>
      <c r="JUK65" s="37"/>
      <c r="JUL65" s="37"/>
      <c r="JUM65" s="37"/>
      <c r="JUN65" s="37"/>
      <c r="JUO65" s="37"/>
      <c r="JUP65" s="37"/>
      <c r="JUQ65" s="37"/>
      <c r="JUR65" s="37"/>
      <c r="JUS65" s="37"/>
      <c r="JUT65" s="37"/>
      <c r="JUU65" s="37"/>
      <c r="JUV65" s="37"/>
      <c r="JUW65" s="37"/>
      <c r="JUX65" s="37"/>
      <c r="JUY65" s="37"/>
      <c r="JUZ65" s="37"/>
      <c r="JVA65" s="37"/>
      <c r="JVB65" s="37"/>
      <c r="JVC65" s="37"/>
      <c r="JVD65" s="37"/>
      <c r="JVE65" s="37"/>
      <c r="JVF65" s="37"/>
      <c r="JVG65" s="37"/>
      <c r="JVH65" s="37"/>
      <c r="JVI65" s="37"/>
      <c r="JVJ65" s="37"/>
      <c r="JVK65" s="37"/>
      <c r="JVL65" s="37"/>
      <c r="JVM65" s="37"/>
      <c r="JVN65" s="37"/>
      <c r="JVO65" s="37"/>
      <c r="JVP65" s="37"/>
      <c r="JVQ65" s="37"/>
      <c r="JVR65" s="37"/>
      <c r="JVS65" s="37"/>
      <c r="JVT65" s="37"/>
      <c r="JVU65" s="37"/>
      <c r="JVV65" s="37"/>
      <c r="JVW65" s="37"/>
      <c r="JVX65" s="37"/>
      <c r="JVY65" s="37"/>
      <c r="JVZ65" s="37"/>
      <c r="JWA65" s="37"/>
      <c r="JWB65" s="37"/>
      <c r="JWC65" s="37"/>
      <c r="JWD65" s="37"/>
      <c r="JWE65" s="37"/>
      <c r="JWF65" s="37"/>
      <c r="JWG65" s="37"/>
      <c r="JWH65" s="37"/>
      <c r="JWI65" s="37"/>
      <c r="JWJ65" s="37"/>
      <c r="JWK65" s="37"/>
      <c r="JWL65" s="37"/>
      <c r="JWM65" s="37"/>
      <c r="JWN65" s="37"/>
      <c r="JWO65" s="37"/>
      <c r="JWP65" s="37"/>
      <c r="JWQ65" s="37"/>
      <c r="JWR65" s="37"/>
      <c r="JWS65" s="37"/>
      <c r="JWT65" s="37"/>
      <c r="JWU65" s="37"/>
      <c r="JWV65" s="37"/>
      <c r="JWW65" s="37"/>
      <c r="JWX65" s="37"/>
      <c r="JWY65" s="37"/>
      <c r="JWZ65" s="37"/>
      <c r="JXA65" s="37"/>
      <c r="JXB65" s="37"/>
      <c r="JXC65" s="37"/>
      <c r="JXD65" s="37"/>
      <c r="JXE65" s="37"/>
      <c r="JXF65" s="37"/>
      <c r="JXG65" s="37"/>
      <c r="JXH65" s="37"/>
      <c r="JXI65" s="37"/>
      <c r="JXJ65" s="37"/>
      <c r="JXK65" s="37"/>
      <c r="JXL65" s="37"/>
      <c r="JXM65" s="37"/>
      <c r="JXN65" s="37"/>
      <c r="JXO65" s="37"/>
      <c r="JXP65" s="37"/>
      <c r="JXQ65" s="37"/>
      <c r="JXR65" s="37"/>
      <c r="JXS65" s="37"/>
      <c r="JXT65" s="37"/>
      <c r="JXU65" s="37"/>
      <c r="JXV65" s="37"/>
      <c r="JXW65" s="37"/>
      <c r="JXX65" s="37"/>
      <c r="JXY65" s="37"/>
      <c r="JXZ65" s="37"/>
      <c r="JYA65" s="37"/>
      <c r="JYB65" s="37"/>
      <c r="JYC65" s="37"/>
      <c r="JYD65" s="37"/>
      <c r="JYE65" s="37"/>
      <c r="JYF65" s="37"/>
      <c r="JYG65" s="37"/>
      <c r="JYH65" s="37"/>
      <c r="JYI65" s="37"/>
      <c r="JYJ65" s="37"/>
      <c r="JYK65" s="37"/>
      <c r="JYL65" s="37"/>
      <c r="JYM65" s="37"/>
      <c r="JYN65" s="37"/>
      <c r="JYO65" s="37"/>
      <c r="JYP65" s="37"/>
      <c r="JYQ65" s="37"/>
      <c r="JYR65" s="37"/>
      <c r="JYS65" s="37"/>
      <c r="JYT65" s="37"/>
      <c r="JYU65" s="37"/>
      <c r="JYV65" s="37"/>
      <c r="JYW65" s="37"/>
      <c r="JYX65" s="37"/>
      <c r="JYY65" s="37"/>
      <c r="JYZ65" s="37"/>
      <c r="JZA65" s="37"/>
      <c r="JZB65" s="37"/>
      <c r="JZC65" s="37"/>
      <c r="JZD65" s="37"/>
      <c r="JZE65" s="37"/>
      <c r="JZF65" s="37"/>
      <c r="JZG65" s="37"/>
      <c r="JZH65" s="37"/>
      <c r="JZI65" s="37"/>
      <c r="JZJ65" s="37"/>
      <c r="JZK65" s="37"/>
      <c r="JZL65" s="37"/>
      <c r="JZM65" s="37"/>
      <c r="JZN65" s="37"/>
      <c r="JZO65" s="37"/>
      <c r="JZP65" s="37"/>
      <c r="JZQ65" s="37"/>
      <c r="JZR65" s="37"/>
      <c r="JZS65" s="37"/>
      <c r="JZT65" s="37"/>
      <c r="JZU65" s="37"/>
      <c r="JZV65" s="37"/>
      <c r="JZW65" s="37"/>
      <c r="JZX65" s="37"/>
      <c r="JZY65" s="37"/>
      <c r="JZZ65" s="37"/>
      <c r="KAA65" s="37"/>
      <c r="KAB65" s="37"/>
      <c r="KAC65" s="37"/>
      <c r="KAD65" s="37"/>
      <c r="KAE65" s="37"/>
      <c r="KAF65" s="37"/>
      <c r="KAG65" s="37"/>
      <c r="KAH65" s="37"/>
      <c r="KAI65" s="37"/>
      <c r="KAJ65" s="37"/>
      <c r="KAK65" s="37"/>
      <c r="KAL65" s="37"/>
      <c r="KAM65" s="37"/>
      <c r="KAN65" s="37"/>
      <c r="KAO65" s="37"/>
      <c r="KAP65" s="37"/>
      <c r="KAQ65" s="37"/>
      <c r="KAR65" s="37"/>
      <c r="KAS65" s="37"/>
      <c r="KAT65" s="37"/>
      <c r="KAU65" s="37"/>
      <c r="KAV65" s="37"/>
      <c r="KAW65" s="37"/>
      <c r="KAX65" s="37"/>
      <c r="KAY65" s="37"/>
      <c r="KAZ65" s="37"/>
      <c r="KBA65" s="37"/>
      <c r="KBB65" s="37"/>
      <c r="KBC65" s="37"/>
      <c r="KBD65" s="37"/>
      <c r="KBE65" s="37"/>
      <c r="KBF65" s="37"/>
      <c r="KBG65" s="37"/>
      <c r="KBH65" s="37"/>
      <c r="KBI65" s="37"/>
      <c r="KBJ65" s="37"/>
      <c r="KBK65" s="37"/>
      <c r="KBL65" s="37"/>
      <c r="KBM65" s="37"/>
      <c r="KBN65" s="37"/>
      <c r="KBO65" s="37"/>
      <c r="KBP65" s="37"/>
      <c r="KBQ65" s="37"/>
      <c r="KBR65" s="37"/>
      <c r="KBS65" s="37"/>
      <c r="KBT65" s="37"/>
      <c r="KBU65" s="37"/>
      <c r="KBV65" s="37"/>
      <c r="KBW65" s="37"/>
      <c r="KBX65" s="37"/>
      <c r="KBY65" s="37"/>
      <c r="KBZ65" s="37"/>
      <c r="KCA65" s="37"/>
      <c r="KCB65" s="37"/>
      <c r="KCC65" s="37"/>
      <c r="KCD65" s="37"/>
      <c r="KCE65" s="37"/>
      <c r="KCF65" s="37"/>
      <c r="KCG65" s="37"/>
      <c r="KCH65" s="37"/>
      <c r="KCI65" s="37"/>
      <c r="KCJ65" s="37"/>
      <c r="KCK65" s="37"/>
      <c r="KCL65" s="37"/>
      <c r="KCM65" s="37"/>
      <c r="KCN65" s="37"/>
      <c r="KCO65" s="37"/>
      <c r="KCP65" s="37"/>
      <c r="KCQ65" s="37"/>
      <c r="KCR65" s="37"/>
      <c r="KCS65" s="37"/>
      <c r="KCT65" s="37"/>
      <c r="KCU65" s="37"/>
      <c r="KCV65" s="37"/>
      <c r="KCW65" s="37"/>
      <c r="KCX65" s="37"/>
      <c r="KCY65" s="37"/>
      <c r="KCZ65" s="37"/>
      <c r="KDA65" s="37"/>
      <c r="KDB65" s="37"/>
      <c r="KDC65" s="37"/>
      <c r="KDD65" s="37"/>
      <c r="KDE65" s="37"/>
      <c r="KDF65" s="37"/>
      <c r="KDG65" s="37"/>
      <c r="KDH65" s="37"/>
      <c r="KDI65" s="37"/>
      <c r="KDJ65" s="37"/>
      <c r="KDK65" s="37"/>
      <c r="KDL65" s="37"/>
      <c r="KDM65" s="37"/>
      <c r="KDN65" s="37"/>
      <c r="KDO65" s="37"/>
      <c r="KDP65" s="37"/>
      <c r="KDQ65" s="37"/>
      <c r="KDR65" s="37"/>
      <c r="KDS65" s="37"/>
      <c r="KDT65" s="37"/>
      <c r="KDU65" s="37"/>
      <c r="KDV65" s="37"/>
      <c r="KDW65" s="37"/>
      <c r="KDX65" s="37"/>
      <c r="KDY65" s="37"/>
      <c r="KDZ65" s="37"/>
      <c r="KEA65" s="37"/>
      <c r="KEB65" s="37"/>
      <c r="KEC65" s="37"/>
      <c r="KED65" s="37"/>
      <c r="KEE65" s="37"/>
      <c r="KEF65" s="37"/>
      <c r="KEG65" s="37"/>
      <c r="KEH65" s="37"/>
      <c r="KEI65" s="37"/>
      <c r="KEJ65" s="37"/>
      <c r="KEK65" s="37"/>
      <c r="KEL65" s="37"/>
      <c r="KEM65" s="37"/>
      <c r="KEN65" s="37"/>
      <c r="KEO65" s="37"/>
      <c r="KEP65" s="37"/>
      <c r="KEQ65" s="37"/>
      <c r="KER65" s="37"/>
      <c r="KES65" s="37"/>
      <c r="KET65" s="37"/>
      <c r="KEU65" s="37"/>
      <c r="KEV65" s="37"/>
      <c r="KEW65" s="37"/>
      <c r="KEX65" s="37"/>
      <c r="KEY65" s="37"/>
      <c r="KEZ65" s="37"/>
      <c r="KFA65" s="37"/>
      <c r="KFB65" s="37"/>
      <c r="KFC65" s="37"/>
      <c r="KFD65" s="37"/>
      <c r="KFE65" s="37"/>
      <c r="KFF65" s="37"/>
      <c r="KFG65" s="37"/>
      <c r="KFH65" s="37"/>
      <c r="KFI65" s="37"/>
      <c r="KFJ65" s="37"/>
      <c r="KFK65" s="37"/>
      <c r="KFL65" s="37"/>
      <c r="KFM65" s="37"/>
      <c r="KFN65" s="37"/>
      <c r="KFO65" s="37"/>
      <c r="KFP65" s="37"/>
      <c r="KFQ65" s="37"/>
      <c r="KFR65" s="37"/>
      <c r="KFS65" s="37"/>
      <c r="KFT65" s="37"/>
      <c r="KFU65" s="37"/>
      <c r="KFV65" s="37"/>
      <c r="KFW65" s="37"/>
      <c r="KFX65" s="37"/>
      <c r="KFY65" s="37"/>
      <c r="KFZ65" s="37"/>
      <c r="KGA65" s="37"/>
      <c r="KGB65" s="37"/>
      <c r="KGC65" s="37"/>
      <c r="KGD65" s="37"/>
      <c r="KGE65" s="37"/>
      <c r="KGF65" s="37"/>
      <c r="KGG65" s="37"/>
      <c r="KGH65" s="37"/>
      <c r="KGI65" s="37"/>
      <c r="KGJ65" s="37"/>
      <c r="KGK65" s="37"/>
      <c r="KGL65" s="37"/>
      <c r="KGM65" s="37"/>
      <c r="KGN65" s="37"/>
      <c r="KGO65" s="37"/>
      <c r="KGP65" s="37"/>
      <c r="KGQ65" s="37"/>
      <c r="KGR65" s="37"/>
      <c r="KGS65" s="37"/>
      <c r="KGT65" s="37"/>
      <c r="KGU65" s="37"/>
      <c r="KGV65" s="37"/>
      <c r="KGW65" s="37"/>
      <c r="KGX65" s="37"/>
      <c r="KGY65" s="37"/>
      <c r="KGZ65" s="37"/>
      <c r="KHA65" s="37"/>
      <c r="KHB65" s="37"/>
      <c r="KHC65" s="37"/>
      <c r="KHD65" s="37"/>
      <c r="KHE65" s="37"/>
      <c r="KHF65" s="37"/>
      <c r="KHG65" s="37"/>
      <c r="KHH65" s="37"/>
      <c r="KHI65" s="37"/>
      <c r="KHJ65" s="37"/>
      <c r="KHK65" s="37"/>
      <c r="KHL65" s="37"/>
      <c r="KHM65" s="37"/>
      <c r="KHN65" s="37"/>
      <c r="KHO65" s="37"/>
      <c r="KHP65" s="37"/>
      <c r="KHQ65" s="37"/>
      <c r="KHR65" s="37"/>
      <c r="KHS65" s="37"/>
      <c r="KHT65" s="37"/>
      <c r="KHU65" s="37"/>
      <c r="KHV65" s="37"/>
      <c r="KHW65" s="37"/>
      <c r="KHX65" s="37"/>
      <c r="KHY65" s="37"/>
      <c r="KHZ65" s="37"/>
      <c r="KIA65" s="37"/>
      <c r="KIB65" s="37"/>
      <c r="KIC65" s="37"/>
      <c r="KID65" s="37"/>
      <c r="KIE65" s="37"/>
      <c r="KIF65" s="37"/>
      <c r="KIG65" s="37"/>
      <c r="KIH65" s="37"/>
      <c r="KII65" s="37"/>
      <c r="KIJ65" s="37"/>
      <c r="KIK65" s="37"/>
      <c r="KIL65" s="37"/>
      <c r="KIM65" s="37"/>
      <c r="KIN65" s="37"/>
      <c r="KIO65" s="37"/>
      <c r="KIP65" s="37"/>
      <c r="KIQ65" s="37"/>
      <c r="KIR65" s="37"/>
      <c r="KIS65" s="37"/>
      <c r="KIT65" s="37"/>
      <c r="KIU65" s="37"/>
      <c r="KIV65" s="37"/>
      <c r="KIW65" s="37"/>
      <c r="KIX65" s="37"/>
      <c r="KIY65" s="37"/>
      <c r="KIZ65" s="37"/>
      <c r="KJA65" s="37"/>
      <c r="KJB65" s="37"/>
      <c r="KJC65" s="37"/>
      <c r="KJD65" s="37"/>
      <c r="KJE65" s="37"/>
      <c r="KJF65" s="37"/>
      <c r="KJG65" s="37"/>
      <c r="KJH65" s="37"/>
      <c r="KJI65" s="37"/>
      <c r="KJJ65" s="37"/>
      <c r="KJK65" s="37"/>
      <c r="KJL65" s="37"/>
      <c r="KJM65" s="37"/>
      <c r="KJN65" s="37"/>
      <c r="KJO65" s="37"/>
      <c r="KJP65" s="37"/>
      <c r="KJQ65" s="37"/>
      <c r="KJR65" s="37"/>
      <c r="KJS65" s="37"/>
      <c r="KJT65" s="37"/>
      <c r="KJU65" s="37"/>
      <c r="KJV65" s="37"/>
      <c r="KJW65" s="37"/>
      <c r="KJX65" s="37"/>
      <c r="KJY65" s="37"/>
      <c r="KJZ65" s="37"/>
      <c r="KKA65" s="37"/>
      <c r="KKB65" s="37"/>
      <c r="KKC65" s="37"/>
      <c r="KKD65" s="37"/>
      <c r="KKE65" s="37"/>
      <c r="KKF65" s="37"/>
      <c r="KKG65" s="37"/>
      <c r="KKH65" s="37"/>
      <c r="KKI65" s="37"/>
      <c r="KKJ65" s="37"/>
      <c r="KKK65" s="37"/>
      <c r="KKL65" s="37"/>
      <c r="KKM65" s="37"/>
      <c r="KKN65" s="37"/>
      <c r="KKO65" s="37"/>
      <c r="KKP65" s="37"/>
      <c r="KKQ65" s="37"/>
      <c r="KKR65" s="37"/>
      <c r="KKS65" s="37"/>
      <c r="KKT65" s="37"/>
      <c r="KKU65" s="37"/>
      <c r="KKV65" s="37"/>
      <c r="KKW65" s="37"/>
      <c r="KKX65" s="37"/>
      <c r="KKY65" s="37"/>
      <c r="KKZ65" s="37"/>
      <c r="KLA65" s="37"/>
      <c r="KLB65" s="37"/>
      <c r="KLC65" s="37"/>
      <c r="KLD65" s="37"/>
      <c r="KLE65" s="37"/>
      <c r="KLF65" s="37"/>
      <c r="KLG65" s="37"/>
      <c r="KLH65" s="37"/>
      <c r="KLI65" s="37"/>
      <c r="KLJ65" s="37"/>
      <c r="KLK65" s="37"/>
      <c r="KLL65" s="37"/>
      <c r="KLM65" s="37"/>
      <c r="KLN65" s="37"/>
      <c r="KLO65" s="37"/>
      <c r="KLP65" s="37"/>
      <c r="KLQ65" s="37"/>
      <c r="KLR65" s="37"/>
      <c r="KLS65" s="37"/>
      <c r="KLT65" s="37"/>
      <c r="KLU65" s="37"/>
      <c r="KLV65" s="37"/>
      <c r="KLW65" s="37"/>
      <c r="KLX65" s="37"/>
      <c r="KLY65" s="37"/>
      <c r="KLZ65" s="37"/>
      <c r="KMA65" s="37"/>
      <c r="KMB65" s="37"/>
      <c r="KMC65" s="37"/>
      <c r="KMD65" s="37"/>
      <c r="KME65" s="37"/>
      <c r="KMF65" s="37"/>
      <c r="KMG65" s="37"/>
      <c r="KMH65" s="37"/>
      <c r="KMI65" s="37"/>
      <c r="KMJ65" s="37"/>
      <c r="KMK65" s="37"/>
      <c r="KML65" s="37"/>
      <c r="KMM65" s="37"/>
      <c r="KMN65" s="37"/>
      <c r="KMO65" s="37"/>
      <c r="KMP65" s="37"/>
      <c r="KMQ65" s="37"/>
      <c r="KMR65" s="37"/>
      <c r="KMS65" s="37"/>
      <c r="KMT65" s="37"/>
      <c r="KMU65" s="37"/>
      <c r="KMV65" s="37"/>
      <c r="KMW65" s="37"/>
      <c r="KMX65" s="37"/>
      <c r="KMY65" s="37"/>
      <c r="KMZ65" s="37"/>
      <c r="KNA65" s="37"/>
      <c r="KNB65" s="37"/>
      <c r="KNC65" s="37"/>
      <c r="KND65" s="37"/>
      <c r="KNE65" s="37"/>
      <c r="KNF65" s="37"/>
      <c r="KNG65" s="37"/>
      <c r="KNH65" s="37"/>
      <c r="KNI65" s="37"/>
      <c r="KNJ65" s="37"/>
      <c r="KNK65" s="37"/>
      <c r="KNL65" s="37"/>
      <c r="KNM65" s="37"/>
      <c r="KNN65" s="37"/>
      <c r="KNO65" s="37"/>
      <c r="KNP65" s="37"/>
      <c r="KNQ65" s="37"/>
      <c r="KNR65" s="37"/>
      <c r="KNS65" s="37"/>
      <c r="KNT65" s="37"/>
      <c r="KNU65" s="37"/>
      <c r="KNV65" s="37"/>
      <c r="KNW65" s="37"/>
      <c r="KNX65" s="37"/>
      <c r="KNY65" s="37"/>
      <c r="KNZ65" s="37"/>
      <c r="KOA65" s="37"/>
      <c r="KOB65" s="37"/>
      <c r="KOC65" s="37"/>
      <c r="KOD65" s="37"/>
      <c r="KOE65" s="37"/>
      <c r="KOF65" s="37"/>
      <c r="KOG65" s="37"/>
      <c r="KOH65" s="37"/>
      <c r="KOI65" s="37"/>
      <c r="KOJ65" s="37"/>
      <c r="KOK65" s="37"/>
      <c r="KOL65" s="37"/>
      <c r="KOM65" s="37"/>
      <c r="KON65" s="37"/>
      <c r="KOO65" s="37"/>
      <c r="KOP65" s="37"/>
      <c r="KOQ65" s="37"/>
      <c r="KOR65" s="37"/>
      <c r="KOS65" s="37"/>
      <c r="KOT65" s="37"/>
      <c r="KOU65" s="37"/>
      <c r="KOV65" s="37"/>
      <c r="KOW65" s="37"/>
      <c r="KOX65" s="37"/>
      <c r="KOY65" s="37"/>
      <c r="KOZ65" s="37"/>
      <c r="KPA65" s="37"/>
      <c r="KPB65" s="37"/>
      <c r="KPC65" s="37"/>
      <c r="KPD65" s="37"/>
      <c r="KPE65" s="37"/>
      <c r="KPF65" s="37"/>
      <c r="KPG65" s="37"/>
      <c r="KPH65" s="37"/>
      <c r="KPI65" s="37"/>
      <c r="KPJ65" s="37"/>
      <c r="KPK65" s="37"/>
      <c r="KPL65" s="37"/>
      <c r="KPM65" s="37"/>
      <c r="KPN65" s="37"/>
      <c r="KPO65" s="37"/>
      <c r="KPP65" s="37"/>
      <c r="KPQ65" s="37"/>
      <c r="KPR65" s="37"/>
      <c r="KPS65" s="37"/>
      <c r="KPT65" s="37"/>
      <c r="KPU65" s="37"/>
      <c r="KPV65" s="37"/>
      <c r="KPW65" s="37"/>
      <c r="KPX65" s="37"/>
      <c r="KPY65" s="37"/>
      <c r="KPZ65" s="37"/>
      <c r="KQA65" s="37"/>
      <c r="KQB65" s="37"/>
      <c r="KQC65" s="37"/>
      <c r="KQD65" s="37"/>
      <c r="KQE65" s="37"/>
      <c r="KQF65" s="37"/>
      <c r="KQG65" s="37"/>
      <c r="KQH65" s="37"/>
      <c r="KQI65" s="37"/>
      <c r="KQJ65" s="37"/>
      <c r="KQK65" s="37"/>
      <c r="KQL65" s="37"/>
      <c r="KQM65" s="37"/>
      <c r="KQN65" s="37"/>
      <c r="KQO65" s="37"/>
      <c r="KQP65" s="37"/>
      <c r="KQQ65" s="37"/>
      <c r="KQR65" s="37"/>
      <c r="KQS65" s="37"/>
      <c r="KQT65" s="37"/>
      <c r="KQU65" s="37"/>
      <c r="KQV65" s="37"/>
      <c r="KQW65" s="37"/>
      <c r="KQX65" s="37"/>
      <c r="KQY65" s="37"/>
      <c r="KQZ65" s="37"/>
      <c r="KRA65" s="37"/>
      <c r="KRB65" s="37"/>
      <c r="KRC65" s="37"/>
      <c r="KRD65" s="37"/>
      <c r="KRE65" s="37"/>
      <c r="KRF65" s="37"/>
      <c r="KRG65" s="37"/>
      <c r="KRH65" s="37"/>
      <c r="KRI65" s="37"/>
      <c r="KRJ65" s="37"/>
      <c r="KRK65" s="37"/>
      <c r="KRL65" s="37"/>
      <c r="KRM65" s="37"/>
      <c r="KRN65" s="37"/>
      <c r="KRO65" s="37"/>
      <c r="KRP65" s="37"/>
      <c r="KRQ65" s="37"/>
      <c r="KRR65" s="37"/>
      <c r="KRS65" s="37"/>
      <c r="KRT65" s="37"/>
      <c r="KRU65" s="37"/>
      <c r="KRV65" s="37"/>
      <c r="KRW65" s="37"/>
      <c r="KRX65" s="37"/>
      <c r="KRY65" s="37"/>
      <c r="KRZ65" s="37"/>
      <c r="KSA65" s="37"/>
      <c r="KSB65" s="37"/>
      <c r="KSC65" s="37"/>
      <c r="KSD65" s="37"/>
      <c r="KSE65" s="37"/>
      <c r="KSF65" s="37"/>
      <c r="KSG65" s="37"/>
      <c r="KSH65" s="37"/>
      <c r="KSI65" s="37"/>
      <c r="KSJ65" s="37"/>
      <c r="KSK65" s="37"/>
      <c r="KSL65" s="37"/>
      <c r="KSM65" s="37"/>
      <c r="KSN65" s="37"/>
      <c r="KSO65" s="37"/>
      <c r="KSP65" s="37"/>
      <c r="KSQ65" s="37"/>
      <c r="KSR65" s="37"/>
      <c r="KSS65" s="37"/>
      <c r="KST65" s="37"/>
      <c r="KSU65" s="37"/>
      <c r="KSV65" s="37"/>
      <c r="KSW65" s="37"/>
      <c r="KSX65" s="37"/>
      <c r="KSY65" s="37"/>
      <c r="KSZ65" s="37"/>
      <c r="KTA65" s="37"/>
      <c r="KTB65" s="37"/>
      <c r="KTC65" s="37"/>
      <c r="KTD65" s="37"/>
      <c r="KTE65" s="37"/>
      <c r="KTF65" s="37"/>
      <c r="KTG65" s="37"/>
      <c r="KTH65" s="37"/>
      <c r="KTI65" s="37"/>
      <c r="KTJ65" s="37"/>
      <c r="KTK65" s="37"/>
      <c r="KTL65" s="37"/>
      <c r="KTM65" s="37"/>
      <c r="KTN65" s="37"/>
      <c r="KTO65" s="37"/>
      <c r="KTP65" s="37"/>
      <c r="KTQ65" s="37"/>
      <c r="KTR65" s="37"/>
      <c r="KTS65" s="37"/>
      <c r="KTT65" s="37"/>
      <c r="KTU65" s="37"/>
      <c r="KTV65" s="37"/>
      <c r="KTW65" s="37"/>
      <c r="KTX65" s="37"/>
      <c r="KTY65" s="37"/>
      <c r="KTZ65" s="37"/>
      <c r="KUA65" s="37"/>
      <c r="KUB65" s="37"/>
      <c r="KUC65" s="37"/>
      <c r="KUD65" s="37"/>
      <c r="KUE65" s="37"/>
      <c r="KUF65" s="37"/>
      <c r="KUG65" s="37"/>
      <c r="KUH65" s="37"/>
      <c r="KUI65" s="37"/>
      <c r="KUJ65" s="37"/>
      <c r="KUK65" s="37"/>
      <c r="KUL65" s="37"/>
      <c r="KUM65" s="37"/>
      <c r="KUN65" s="37"/>
      <c r="KUO65" s="37"/>
      <c r="KUP65" s="37"/>
      <c r="KUQ65" s="37"/>
      <c r="KUR65" s="37"/>
      <c r="KUS65" s="37"/>
      <c r="KUT65" s="37"/>
      <c r="KUU65" s="37"/>
      <c r="KUV65" s="37"/>
      <c r="KUW65" s="37"/>
      <c r="KUX65" s="37"/>
      <c r="KUY65" s="37"/>
      <c r="KUZ65" s="37"/>
      <c r="KVA65" s="37"/>
      <c r="KVB65" s="37"/>
      <c r="KVC65" s="37"/>
      <c r="KVD65" s="37"/>
      <c r="KVE65" s="37"/>
      <c r="KVF65" s="37"/>
      <c r="KVG65" s="37"/>
      <c r="KVH65" s="37"/>
      <c r="KVI65" s="37"/>
      <c r="KVJ65" s="37"/>
      <c r="KVK65" s="37"/>
      <c r="KVL65" s="37"/>
      <c r="KVM65" s="37"/>
      <c r="KVN65" s="37"/>
      <c r="KVO65" s="37"/>
      <c r="KVP65" s="37"/>
      <c r="KVQ65" s="37"/>
      <c r="KVR65" s="37"/>
      <c r="KVS65" s="37"/>
      <c r="KVT65" s="37"/>
      <c r="KVU65" s="37"/>
      <c r="KVV65" s="37"/>
      <c r="KVW65" s="37"/>
      <c r="KVX65" s="37"/>
      <c r="KVY65" s="37"/>
      <c r="KVZ65" s="37"/>
      <c r="KWA65" s="37"/>
      <c r="KWB65" s="37"/>
      <c r="KWC65" s="37"/>
      <c r="KWD65" s="37"/>
      <c r="KWE65" s="37"/>
      <c r="KWF65" s="37"/>
      <c r="KWG65" s="37"/>
      <c r="KWH65" s="37"/>
      <c r="KWI65" s="37"/>
      <c r="KWJ65" s="37"/>
      <c r="KWK65" s="37"/>
      <c r="KWL65" s="37"/>
      <c r="KWM65" s="37"/>
      <c r="KWN65" s="37"/>
      <c r="KWO65" s="37"/>
      <c r="KWP65" s="37"/>
      <c r="KWQ65" s="37"/>
      <c r="KWR65" s="37"/>
      <c r="KWS65" s="37"/>
      <c r="KWT65" s="37"/>
      <c r="KWU65" s="37"/>
      <c r="KWV65" s="37"/>
      <c r="KWW65" s="37"/>
      <c r="KWX65" s="37"/>
      <c r="KWY65" s="37"/>
      <c r="KWZ65" s="37"/>
      <c r="KXA65" s="37"/>
      <c r="KXB65" s="37"/>
      <c r="KXC65" s="37"/>
      <c r="KXD65" s="37"/>
      <c r="KXE65" s="37"/>
      <c r="KXF65" s="37"/>
      <c r="KXG65" s="37"/>
      <c r="KXH65" s="37"/>
      <c r="KXI65" s="37"/>
      <c r="KXJ65" s="37"/>
      <c r="KXK65" s="37"/>
      <c r="KXL65" s="37"/>
      <c r="KXM65" s="37"/>
      <c r="KXN65" s="37"/>
      <c r="KXO65" s="37"/>
      <c r="KXP65" s="37"/>
      <c r="KXQ65" s="37"/>
      <c r="KXR65" s="37"/>
      <c r="KXS65" s="37"/>
      <c r="KXT65" s="37"/>
      <c r="KXU65" s="37"/>
      <c r="KXV65" s="37"/>
      <c r="KXW65" s="37"/>
      <c r="KXX65" s="37"/>
      <c r="KXY65" s="37"/>
      <c r="KXZ65" s="37"/>
      <c r="KYA65" s="37"/>
      <c r="KYB65" s="37"/>
      <c r="KYC65" s="37"/>
      <c r="KYD65" s="37"/>
      <c r="KYE65" s="37"/>
      <c r="KYF65" s="37"/>
      <c r="KYG65" s="37"/>
      <c r="KYH65" s="37"/>
      <c r="KYI65" s="37"/>
      <c r="KYJ65" s="37"/>
      <c r="KYK65" s="37"/>
      <c r="KYL65" s="37"/>
      <c r="KYM65" s="37"/>
      <c r="KYN65" s="37"/>
      <c r="KYO65" s="37"/>
      <c r="KYP65" s="37"/>
      <c r="KYQ65" s="37"/>
      <c r="KYR65" s="37"/>
      <c r="KYS65" s="37"/>
      <c r="KYT65" s="37"/>
      <c r="KYU65" s="37"/>
      <c r="KYV65" s="37"/>
      <c r="KYW65" s="37"/>
      <c r="KYX65" s="37"/>
      <c r="KYY65" s="37"/>
      <c r="KYZ65" s="37"/>
      <c r="KZA65" s="37"/>
      <c r="KZB65" s="37"/>
      <c r="KZC65" s="37"/>
      <c r="KZD65" s="37"/>
      <c r="KZE65" s="37"/>
      <c r="KZF65" s="37"/>
      <c r="KZG65" s="37"/>
      <c r="KZH65" s="37"/>
      <c r="KZI65" s="37"/>
      <c r="KZJ65" s="37"/>
      <c r="KZK65" s="37"/>
      <c r="KZL65" s="37"/>
      <c r="KZM65" s="37"/>
      <c r="KZN65" s="37"/>
      <c r="KZO65" s="37"/>
      <c r="KZP65" s="37"/>
      <c r="KZQ65" s="37"/>
      <c r="KZR65" s="37"/>
      <c r="KZS65" s="37"/>
      <c r="KZT65" s="37"/>
      <c r="KZU65" s="37"/>
      <c r="KZV65" s="37"/>
      <c r="KZW65" s="37"/>
      <c r="KZX65" s="37"/>
      <c r="KZY65" s="37"/>
      <c r="KZZ65" s="37"/>
      <c r="LAA65" s="37"/>
      <c r="LAB65" s="37"/>
      <c r="LAC65" s="37"/>
      <c r="LAD65" s="37"/>
      <c r="LAE65" s="37"/>
      <c r="LAF65" s="37"/>
      <c r="LAG65" s="37"/>
      <c r="LAH65" s="37"/>
      <c r="LAI65" s="37"/>
      <c r="LAJ65" s="37"/>
      <c r="LAK65" s="37"/>
      <c r="LAL65" s="37"/>
      <c r="LAM65" s="37"/>
      <c r="LAN65" s="37"/>
      <c r="LAO65" s="37"/>
      <c r="LAP65" s="37"/>
      <c r="LAQ65" s="37"/>
      <c r="LAR65" s="37"/>
      <c r="LAS65" s="37"/>
      <c r="LAT65" s="37"/>
      <c r="LAU65" s="37"/>
      <c r="LAV65" s="37"/>
      <c r="LAW65" s="37"/>
      <c r="LAX65" s="37"/>
      <c r="LAY65" s="37"/>
      <c r="LAZ65" s="37"/>
      <c r="LBA65" s="37"/>
      <c r="LBB65" s="37"/>
      <c r="LBC65" s="37"/>
      <c r="LBD65" s="37"/>
      <c r="LBE65" s="37"/>
      <c r="LBF65" s="37"/>
      <c r="LBG65" s="37"/>
      <c r="LBH65" s="37"/>
      <c r="LBI65" s="37"/>
      <c r="LBJ65" s="37"/>
      <c r="LBK65" s="37"/>
      <c r="LBL65" s="37"/>
      <c r="LBM65" s="37"/>
      <c r="LBN65" s="37"/>
      <c r="LBO65" s="37"/>
      <c r="LBP65" s="37"/>
      <c r="LBQ65" s="37"/>
      <c r="LBR65" s="37"/>
      <c r="LBS65" s="37"/>
      <c r="LBT65" s="37"/>
      <c r="LBU65" s="37"/>
      <c r="LBV65" s="37"/>
      <c r="LBW65" s="37"/>
      <c r="LBX65" s="37"/>
      <c r="LBY65" s="37"/>
      <c r="LBZ65" s="37"/>
      <c r="LCA65" s="37"/>
      <c r="LCB65" s="37"/>
      <c r="LCC65" s="37"/>
      <c r="LCD65" s="37"/>
      <c r="LCE65" s="37"/>
      <c r="LCF65" s="37"/>
      <c r="LCG65" s="37"/>
      <c r="LCH65" s="37"/>
      <c r="LCI65" s="37"/>
      <c r="LCJ65" s="37"/>
      <c r="LCK65" s="37"/>
      <c r="LCL65" s="37"/>
      <c r="LCM65" s="37"/>
      <c r="LCN65" s="37"/>
      <c r="LCO65" s="37"/>
      <c r="LCP65" s="37"/>
      <c r="LCQ65" s="37"/>
      <c r="LCR65" s="37"/>
      <c r="LCS65" s="37"/>
      <c r="LCT65" s="37"/>
      <c r="LCU65" s="37"/>
      <c r="LCV65" s="37"/>
      <c r="LCW65" s="37"/>
      <c r="LCX65" s="37"/>
      <c r="LCY65" s="37"/>
      <c r="LCZ65" s="37"/>
      <c r="LDA65" s="37"/>
      <c r="LDB65" s="37"/>
      <c r="LDC65" s="37"/>
      <c r="LDD65" s="37"/>
      <c r="LDE65" s="37"/>
      <c r="LDF65" s="37"/>
      <c r="LDG65" s="37"/>
      <c r="LDH65" s="37"/>
      <c r="LDI65" s="37"/>
      <c r="LDJ65" s="37"/>
      <c r="LDK65" s="37"/>
      <c r="LDL65" s="37"/>
      <c r="LDM65" s="37"/>
      <c r="LDN65" s="37"/>
      <c r="LDO65" s="37"/>
      <c r="LDP65" s="37"/>
      <c r="LDQ65" s="37"/>
      <c r="LDR65" s="37"/>
      <c r="LDS65" s="37"/>
      <c r="LDT65" s="37"/>
      <c r="LDU65" s="37"/>
      <c r="LDV65" s="37"/>
      <c r="LDW65" s="37"/>
      <c r="LDX65" s="37"/>
      <c r="LDY65" s="37"/>
      <c r="LDZ65" s="37"/>
      <c r="LEA65" s="37"/>
      <c r="LEB65" s="37"/>
      <c r="LEC65" s="37"/>
      <c r="LED65" s="37"/>
      <c r="LEE65" s="37"/>
      <c r="LEF65" s="37"/>
      <c r="LEG65" s="37"/>
      <c r="LEH65" s="37"/>
      <c r="LEI65" s="37"/>
      <c r="LEJ65" s="37"/>
      <c r="LEK65" s="37"/>
      <c r="LEL65" s="37"/>
      <c r="LEM65" s="37"/>
      <c r="LEN65" s="37"/>
      <c r="LEO65" s="37"/>
      <c r="LEP65" s="37"/>
      <c r="LEQ65" s="37"/>
      <c r="LER65" s="37"/>
      <c r="LES65" s="37"/>
      <c r="LET65" s="37"/>
      <c r="LEU65" s="37"/>
      <c r="LEV65" s="37"/>
      <c r="LEW65" s="37"/>
      <c r="LEX65" s="37"/>
      <c r="LEY65" s="37"/>
      <c r="LEZ65" s="37"/>
      <c r="LFA65" s="37"/>
      <c r="LFB65" s="37"/>
      <c r="LFC65" s="37"/>
      <c r="LFD65" s="37"/>
      <c r="LFE65" s="37"/>
      <c r="LFF65" s="37"/>
      <c r="LFG65" s="37"/>
      <c r="LFH65" s="37"/>
      <c r="LFI65" s="37"/>
      <c r="LFJ65" s="37"/>
      <c r="LFK65" s="37"/>
      <c r="LFL65" s="37"/>
      <c r="LFM65" s="37"/>
      <c r="LFN65" s="37"/>
      <c r="LFO65" s="37"/>
      <c r="LFP65" s="37"/>
      <c r="LFQ65" s="37"/>
      <c r="LFR65" s="37"/>
      <c r="LFS65" s="37"/>
      <c r="LFT65" s="37"/>
      <c r="LFU65" s="37"/>
      <c r="LFV65" s="37"/>
      <c r="LFW65" s="37"/>
      <c r="LFX65" s="37"/>
      <c r="LFY65" s="37"/>
      <c r="LFZ65" s="37"/>
      <c r="LGA65" s="37"/>
      <c r="LGB65" s="37"/>
      <c r="LGC65" s="37"/>
      <c r="LGD65" s="37"/>
      <c r="LGE65" s="37"/>
      <c r="LGF65" s="37"/>
      <c r="LGG65" s="37"/>
      <c r="LGH65" s="37"/>
      <c r="LGI65" s="37"/>
      <c r="LGJ65" s="37"/>
      <c r="LGK65" s="37"/>
      <c r="LGL65" s="37"/>
      <c r="LGM65" s="37"/>
      <c r="LGN65" s="37"/>
      <c r="LGO65" s="37"/>
      <c r="LGP65" s="37"/>
      <c r="LGQ65" s="37"/>
      <c r="LGR65" s="37"/>
      <c r="LGS65" s="37"/>
      <c r="LGT65" s="37"/>
      <c r="LGU65" s="37"/>
      <c r="LGV65" s="37"/>
      <c r="LGW65" s="37"/>
      <c r="LGX65" s="37"/>
      <c r="LGY65" s="37"/>
      <c r="LGZ65" s="37"/>
      <c r="LHA65" s="37"/>
      <c r="LHB65" s="37"/>
      <c r="LHC65" s="37"/>
      <c r="LHD65" s="37"/>
      <c r="LHE65" s="37"/>
      <c r="LHF65" s="37"/>
      <c r="LHG65" s="37"/>
      <c r="LHH65" s="37"/>
      <c r="LHI65" s="37"/>
      <c r="LHJ65" s="37"/>
      <c r="LHK65" s="37"/>
      <c r="LHL65" s="37"/>
      <c r="LHM65" s="37"/>
      <c r="LHN65" s="37"/>
      <c r="LHO65" s="37"/>
      <c r="LHP65" s="37"/>
      <c r="LHQ65" s="37"/>
      <c r="LHR65" s="37"/>
      <c r="LHS65" s="37"/>
      <c r="LHT65" s="37"/>
      <c r="LHU65" s="37"/>
      <c r="LHV65" s="37"/>
      <c r="LHW65" s="37"/>
      <c r="LHX65" s="37"/>
      <c r="LHY65" s="37"/>
      <c r="LHZ65" s="37"/>
      <c r="LIA65" s="37"/>
      <c r="LIB65" s="37"/>
      <c r="LIC65" s="37"/>
      <c r="LID65" s="37"/>
      <c r="LIE65" s="37"/>
      <c r="LIF65" s="37"/>
      <c r="LIG65" s="37"/>
      <c r="LIH65" s="37"/>
      <c r="LII65" s="37"/>
      <c r="LIJ65" s="37"/>
      <c r="LIK65" s="37"/>
      <c r="LIL65" s="37"/>
      <c r="LIM65" s="37"/>
      <c r="LIN65" s="37"/>
      <c r="LIO65" s="37"/>
      <c r="LIP65" s="37"/>
      <c r="LIQ65" s="37"/>
      <c r="LIR65" s="37"/>
      <c r="LIS65" s="37"/>
      <c r="LIT65" s="37"/>
      <c r="LIU65" s="37"/>
      <c r="LIV65" s="37"/>
      <c r="LIW65" s="37"/>
      <c r="LIX65" s="37"/>
      <c r="LIY65" s="37"/>
      <c r="LIZ65" s="37"/>
      <c r="LJA65" s="37"/>
      <c r="LJB65" s="37"/>
      <c r="LJC65" s="37"/>
      <c r="LJD65" s="37"/>
      <c r="LJE65" s="37"/>
      <c r="LJF65" s="37"/>
      <c r="LJG65" s="37"/>
      <c r="LJH65" s="37"/>
      <c r="LJI65" s="37"/>
      <c r="LJJ65" s="37"/>
      <c r="LJK65" s="37"/>
      <c r="LJL65" s="37"/>
      <c r="LJM65" s="37"/>
      <c r="LJN65" s="37"/>
      <c r="LJO65" s="37"/>
      <c r="LJP65" s="37"/>
      <c r="LJQ65" s="37"/>
      <c r="LJR65" s="37"/>
      <c r="LJS65" s="37"/>
      <c r="LJT65" s="37"/>
      <c r="LJU65" s="37"/>
      <c r="LJV65" s="37"/>
      <c r="LJW65" s="37"/>
      <c r="LJX65" s="37"/>
      <c r="LJY65" s="37"/>
      <c r="LJZ65" s="37"/>
      <c r="LKA65" s="37"/>
      <c r="LKB65" s="37"/>
      <c r="LKC65" s="37"/>
      <c r="LKD65" s="37"/>
      <c r="LKE65" s="37"/>
      <c r="LKF65" s="37"/>
      <c r="LKG65" s="37"/>
      <c r="LKH65" s="37"/>
      <c r="LKI65" s="37"/>
      <c r="LKJ65" s="37"/>
      <c r="LKK65" s="37"/>
      <c r="LKL65" s="37"/>
      <c r="LKM65" s="37"/>
      <c r="LKN65" s="37"/>
      <c r="LKO65" s="37"/>
      <c r="LKP65" s="37"/>
      <c r="LKQ65" s="37"/>
      <c r="LKR65" s="37"/>
      <c r="LKS65" s="37"/>
      <c r="LKT65" s="37"/>
      <c r="LKU65" s="37"/>
      <c r="LKV65" s="37"/>
      <c r="LKW65" s="37"/>
      <c r="LKX65" s="37"/>
      <c r="LKY65" s="37"/>
      <c r="LKZ65" s="37"/>
      <c r="LLA65" s="37"/>
      <c r="LLB65" s="37"/>
      <c r="LLC65" s="37"/>
      <c r="LLD65" s="37"/>
      <c r="LLE65" s="37"/>
      <c r="LLF65" s="37"/>
      <c r="LLG65" s="37"/>
      <c r="LLH65" s="37"/>
      <c r="LLI65" s="37"/>
      <c r="LLJ65" s="37"/>
      <c r="LLK65" s="37"/>
      <c r="LLL65" s="37"/>
      <c r="LLM65" s="37"/>
      <c r="LLN65" s="37"/>
      <c r="LLO65" s="37"/>
      <c r="LLP65" s="37"/>
      <c r="LLQ65" s="37"/>
      <c r="LLR65" s="37"/>
      <c r="LLS65" s="37"/>
      <c r="LLT65" s="37"/>
      <c r="LLU65" s="37"/>
      <c r="LLV65" s="37"/>
      <c r="LLW65" s="37"/>
      <c r="LLX65" s="37"/>
      <c r="LLY65" s="37"/>
      <c r="LLZ65" s="37"/>
      <c r="LMA65" s="37"/>
      <c r="LMB65" s="37"/>
      <c r="LMC65" s="37"/>
      <c r="LMD65" s="37"/>
      <c r="LME65" s="37"/>
      <c r="LMF65" s="37"/>
      <c r="LMG65" s="37"/>
      <c r="LMH65" s="37"/>
      <c r="LMI65" s="37"/>
      <c r="LMJ65" s="37"/>
      <c r="LMK65" s="37"/>
      <c r="LML65" s="37"/>
      <c r="LMM65" s="37"/>
      <c r="LMN65" s="37"/>
      <c r="LMO65" s="37"/>
      <c r="LMP65" s="37"/>
      <c r="LMQ65" s="37"/>
      <c r="LMR65" s="37"/>
      <c r="LMS65" s="37"/>
      <c r="LMT65" s="37"/>
      <c r="LMU65" s="37"/>
      <c r="LMV65" s="37"/>
      <c r="LMW65" s="37"/>
      <c r="LMX65" s="37"/>
      <c r="LMY65" s="37"/>
      <c r="LMZ65" s="37"/>
      <c r="LNA65" s="37"/>
      <c r="LNB65" s="37"/>
      <c r="LNC65" s="37"/>
      <c r="LND65" s="37"/>
      <c r="LNE65" s="37"/>
      <c r="LNF65" s="37"/>
      <c r="LNG65" s="37"/>
      <c r="LNH65" s="37"/>
      <c r="LNI65" s="37"/>
      <c r="LNJ65" s="37"/>
      <c r="LNK65" s="37"/>
      <c r="LNL65" s="37"/>
      <c r="LNM65" s="37"/>
      <c r="LNN65" s="37"/>
      <c r="LNO65" s="37"/>
      <c r="LNP65" s="37"/>
      <c r="LNQ65" s="37"/>
      <c r="LNR65" s="37"/>
      <c r="LNS65" s="37"/>
      <c r="LNT65" s="37"/>
      <c r="LNU65" s="37"/>
      <c r="LNV65" s="37"/>
      <c r="LNW65" s="37"/>
      <c r="LNX65" s="37"/>
      <c r="LNY65" s="37"/>
      <c r="LNZ65" s="37"/>
      <c r="LOA65" s="37"/>
      <c r="LOB65" s="37"/>
      <c r="LOC65" s="37"/>
      <c r="LOD65" s="37"/>
      <c r="LOE65" s="37"/>
      <c r="LOF65" s="37"/>
      <c r="LOG65" s="37"/>
      <c r="LOH65" s="37"/>
      <c r="LOI65" s="37"/>
      <c r="LOJ65" s="37"/>
      <c r="LOK65" s="37"/>
      <c r="LOL65" s="37"/>
      <c r="LOM65" s="37"/>
      <c r="LON65" s="37"/>
      <c r="LOO65" s="37"/>
      <c r="LOP65" s="37"/>
      <c r="LOQ65" s="37"/>
      <c r="LOR65" s="37"/>
      <c r="LOS65" s="37"/>
      <c r="LOT65" s="37"/>
      <c r="LOU65" s="37"/>
      <c r="LOV65" s="37"/>
      <c r="LOW65" s="37"/>
      <c r="LOX65" s="37"/>
      <c r="LOY65" s="37"/>
      <c r="LOZ65" s="37"/>
      <c r="LPA65" s="37"/>
      <c r="LPB65" s="37"/>
      <c r="LPC65" s="37"/>
      <c r="LPD65" s="37"/>
      <c r="LPE65" s="37"/>
      <c r="LPF65" s="37"/>
      <c r="LPG65" s="37"/>
      <c r="LPH65" s="37"/>
      <c r="LPI65" s="37"/>
      <c r="LPJ65" s="37"/>
      <c r="LPK65" s="37"/>
      <c r="LPL65" s="37"/>
      <c r="LPM65" s="37"/>
      <c r="LPN65" s="37"/>
      <c r="LPO65" s="37"/>
      <c r="LPP65" s="37"/>
      <c r="LPQ65" s="37"/>
      <c r="LPR65" s="37"/>
      <c r="LPS65" s="37"/>
      <c r="LPT65" s="37"/>
      <c r="LPU65" s="37"/>
      <c r="LPV65" s="37"/>
      <c r="LPW65" s="37"/>
      <c r="LPX65" s="37"/>
      <c r="LPY65" s="37"/>
      <c r="LPZ65" s="37"/>
      <c r="LQA65" s="37"/>
      <c r="LQB65" s="37"/>
      <c r="LQC65" s="37"/>
      <c r="LQD65" s="37"/>
      <c r="LQE65" s="37"/>
      <c r="LQF65" s="37"/>
      <c r="LQG65" s="37"/>
      <c r="LQH65" s="37"/>
      <c r="LQI65" s="37"/>
      <c r="LQJ65" s="37"/>
      <c r="LQK65" s="37"/>
      <c r="LQL65" s="37"/>
      <c r="LQM65" s="37"/>
      <c r="LQN65" s="37"/>
      <c r="LQO65" s="37"/>
      <c r="LQP65" s="37"/>
      <c r="LQQ65" s="37"/>
      <c r="LQR65" s="37"/>
      <c r="LQS65" s="37"/>
      <c r="LQT65" s="37"/>
      <c r="LQU65" s="37"/>
      <c r="LQV65" s="37"/>
      <c r="LQW65" s="37"/>
      <c r="LQX65" s="37"/>
      <c r="LQY65" s="37"/>
      <c r="LQZ65" s="37"/>
      <c r="LRA65" s="37"/>
      <c r="LRB65" s="37"/>
      <c r="LRC65" s="37"/>
      <c r="LRD65" s="37"/>
      <c r="LRE65" s="37"/>
      <c r="LRF65" s="37"/>
      <c r="LRG65" s="37"/>
      <c r="LRH65" s="37"/>
      <c r="LRI65" s="37"/>
      <c r="LRJ65" s="37"/>
      <c r="LRK65" s="37"/>
      <c r="LRL65" s="37"/>
      <c r="LRM65" s="37"/>
      <c r="LRN65" s="37"/>
      <c r="LRO65" s="37"/>
      <c r="LRP65" s="37"/>
      <c r="LRQ65" s="37"/>
      <c r="LRR65" s="37"/>
      <c r="LRS65" s="37"/>
      <c r="LRT65" s="37"/>
      <c r="LRU65" s="37"/>
      <c r="LRV65" s="37"/>
      <c r="LRW65" s="37"/>
      <c r="LRX65" s="37"/>
      <c r="LRY65" s="37"/>
      <c r="LRZ65" s="37"/>
      <c r="LSA65" s="37"/>
      <c r="LSB65" s="37"/>
      <c r="LSC65" s="37"/>
      <c r="LSD65" s="37"/>
      <c r="LSE65" s="37"/>
      <c r="LSF65" s="37"/>
      <c r="LSG65" s="37"/>
      <c r="LSH65" s="37"/>
      <c r="LSI65" s="37"/>
      <c r="LSJ65" s="37"/>
      <c r="LSK65" s="37"/>
      <c r="LSL65" s="37"/>
      <c r="LSM65" s="37"/>
      <c r="LSN65" s="37"/>
      <c r="LSO65" s="37"/>
      <c r="LSP65" s="37"/>
      <c r="LSQ65" s="37"/>
      <c r="LSR65" s="37"/>
      <c r="LSS65" s="37"/>
      <c r="LST65" s="37"/>
      <c r="LSU65" s="37"/>
      <c r="LSV65" s="37"/>
      <c r="LSW65" s="37"/>
      <c r="LSX65" s="37"/>
      <c r="LSY65" s="37"/>
      <c r="LSZ65" s="37"/>
      <c r="LTA65" s="37"/>
      <c r="LTB65" s="37"/>
      <c r="LTC65" s="37"/>
      <c r="LTD65" s="37"/>
      <c r="LTE65" s="37"/>
      <c r="LTF65" s="37"/>
      <c r="LTG65" s="37"/>
      <c r="LTH65" s="37"/>
      <c r="LTI65" s="37"/>
      <c r="LTJ65" s="37"/>
      <c r="LTK65" s="37"/>
      <c r="LTL65" s="37"/>
      <c r="LTM65" s="37"/>
      <c r="LTN65" s="37"/>
      <c r="LTO65" s="37"/>
      <c r="LTP65" s="37"/>
      <c r="LTQ65" s="37"/>
      <c r="LTR65" s="37"/>
      <c r="LTS65" s="37"/>
      <c r="LTT65" s="37"/>
      <c r="LTU65" s="37"/>
      <c r="LTV65" s="37"/>
      <c r="LTW65" s="37"/>
      <c r="LTX65" s="37"/>
      <c r="LTY65" s="37"/>
      <c r="LTZ65" s="37"/>
      <c r="LUA65" s="37"/>
      <c r="LUB65" s="37"/>
      <c r="LUC65" s="37"/>
      <c r="LUD65" s="37"/>
      <c r="LUE65" s="37"/>
      <c r="LUF65" s="37"/>
      <c r="LUG65" s="37"/>
      <c r="LUH65" s="37"/>
      <c r="LUI65" s="37"/>
      <c r="LUJ65" s="37"/>
      <c r="LUK65" s="37"/>
      <c r="LUL65" s="37"/>
      <c r="LUM65" s="37"/>
      <c r="LUN65" s="37"/>
      <c r="LUO65" s="37"/>
      <c r="LUP65" s="37"/>
      <c r="LUQ65" s="37"/>
      <c r="LUR65" s="37"/>
      <c r="LUS65" s="37"/>
      <c r="LUT65" s="37"/>
      <c r="LUU65" s="37"/>
      <c r="LUV65" s="37"/>
      <c r="LUW65" s="37"/>
      <c r="LUX65" s="37"/>
      <c r="LUY65" s="37"/>
      <c r="LUZ65" s="37"/>
      <c r="LVA65" s="37"/>
      <c r="LVB65" s="37"/>
      <c r="LVC65" s="37"/>
      <c r="LVD65" s="37"/>
      <c r="LVE65" s="37"/>
      <c r="LVF65" s="37"/>
      <c r="LVG65" s="37"/>
      <c r="LVH65" s="37"/>
      <c r="LVI65" s="37"/>
      <c r="LVJ65" s="37"/>
      <c r="LVK65" s="37"/>
      <c r="LVL65" s="37"/>
      <c r="LVM65" s="37"/>
      <c r="LVN65" s="37"/>
      <c r="LVO65" s="37"/>
      <c r="LVP65" s="37"/>
      <c r="LVQ65" s="37"/>
      <c r="LVR65" s="37"/>
      <c r="LVS65" s="37"/>
      <c r="LVT65" s="37"/>
      <c r="LVU65" s="37"/>
      <c r="LVV65" s="37"/>
      <c r="LVW65" s="37"/>
      <c r="LVX65" s="37"/>
      <c r="LVY65" s="37"/>
      <c r="LVZ65" s="37"/>
      <c r="LWA65" s="37"/>
      <c r="LWB65" s="37"/>
      <c r="LWC65" s="37"/>
      <c r="LWD65" s="37"/>
      <c r="LWE65" s="37"/>
      <c r="LWF65" s="37"/>
      <c r="LWG65" s="37"/>
      <c r="LWH65" s="37"/>
      <c r="LWI65" s="37"/>
      <c r="LWJ65" s="37"/>
      <c r="LWK65" s="37"/>
      <c r="LWL65" s="37"/>
      <c r="LWM65" s="37"/>
      <c r="LWN65" s="37"/>
      <c r="LWO65" s="37"/>
      <c r="LWP65" s="37"/>
      <c r="LWQ65" s="37"/>
      <c r="LWR65" s="37"/>
      <c r="LWS65" s="37"/>
      <c r="LWT65" s="37"/>
      <c r="LWU65" s="37"/>
      <c r="LWV65" s="37"/>
      <c r="LWW65" s="37"/>
      <c r="LWX65" s="37"/>
      <c r="LWY65" s="37"/>
      <c r="LWZ65" s="37"/>
      <c r="LXA65" s="37"/>
      <c r="LXB65" s="37"/>
      <c r="LXC65" s="37"/>
      <c r="LXD65" s="37"/>
      <c r="LXE65" s="37"/>
      <c r="LXF65" s="37"/>
      <c r="LXG65" s="37"/>
      <c r="LXH65" s="37"/>
      <c r="LXI65" s="37"/>
      <c r="LXJ65" s="37"/>
      <c r="LXK65" s="37"/>
      <c r="LXL65" s="37"/>
      <c r="LXM65" s="37"/>
      <c r="LXN65" s="37"/>
      <c r="LXO65" s="37"/>
      <c r="LXP65" s="37"/>
      <c r="LXQ65" s="37"/>
      <c r="LXR65" s="37"/>
      <c r="LXS65" s="37"/>
      <c r="LXT65" s="37"/>
      <c r="LXU65" s="37"/>
      <c r="LXV65" s="37"/>
      <c r="LXW65" s="37"/>
      <c r="LXX65" s="37"/>
      <c r="LXY65" s="37"/>
      <c r="LXZ65" s="37"/>
      <c r="LYA65" s="37"/>
      <c r="LYB65" s="37"/>
      <c r="LYC65" s="37"/>
      <c r="LYD65" s="37"/>
      <c r="LYE65" s="37"/>
      <c r="LYF65" s="37"/>
      <c r="LYG65" s="37"/>
      <c r="LYH65" s="37"/>
      <c r="LYI65" s="37"/>
      <c r="LYJ65" s="37"/>
      <c r="LYK65" s="37"/>
      <c r="LYL65" s="37"/>
      <c r="LYM65" s="37"/>
      <c r="LYN65" s="37"/>
      <c r="LYO65" s="37"/>
      <c r="LYP65" s="37"/>
      <c r="LYQ65" s="37"/>
      <c r="LYR65" s="37"/>
      <c r="LYS65" s="37"/>
      <c r="LYT65" s="37"/>
      <c r="LYU65" s="37"/>
      <c r="LYV65" s="37"/>
      <c r="LYW65" s="37"/>
      <c r="LYX65" s="37"/>
      <c r="LYY65" s="37"/>
      <c r="LYZ65" s="37"/>
      <c r="LZA65" s="37"/>
      <c r="LZB65" s="37"/>
      <c r="LZC65" s="37"/>
      <c r="LZD65" s="37"/>
      <c r="LZE65" s="37"/>
      <c r="LZF65" s="37"/>
      <c r="LZG65" s="37"/>
      <c r="LZH65" s="37"/>
      <c r="LZI65" s="37"/>
      <c r="LZJ65" s="37"/>
      <c r="LZK65" s="37"/>
      <c r="LZL65" s="37"/>
      <c r="LZM65" s="37"/>
      <c r="LZN65" s="37"/>
      <c r="LZO65" s="37"/>
      <c r="LZP65" s="37"/>
      <c r="LZQ65" s="37"/>
      <c r="LZR65" s="37"/>
      <c r="LZS65" s="37"/>
      <c r="LZT65" s="37"/>
      <c r="LZU65" s="37"/>
      <c r="LZV65" s="37"/>
      <c r="LZW65" s="37"/>
      <c r="LZX65" s="37"/>
      <c r="LZY65" s="37"/>
      <c r="LZZ65" s="37"/>
      <c r="MAA65" s="37"/>
      <c r="MAB65" s="37"/>
      <c r="MAC65" s="37"/>
      <c r="MAD65" s="37"/>
      <c r="MAE65" s="37"/>
      <c r="MAF65" s="37"/>
      <c r="MAG65" s="37"/>
      <c r="MAH65" s="37"/>
      <c r="MAI65" s="37"/>
      <c r="MAJ65" s="37"/>
      <c r="MAK65" s="37"/>
      <c r="MAL65" s="37"/>
      <c r="MAM65" s="37"/>
      <c r="MAN65" s="37"/>
      <c r="MAO65" s="37"/>
      <c r="MAP65" s="37"/>
      <c r="MAQ65" s="37"/>
      <c r="MAR65" s="37"/>
      <c r="MAS65" s="37"/>
      <c r="MAT65" s="37"/>
      <c r="MAU65" s="37"/>
      <c r="MAV65" s="37"/>
      <c r="MAW65" s="37"/>
      <c r="MAX65" s="37"/>
      <c r="MAY65" s="37"/>
      <c r="MAZ65" s="37"/>
      <c r="MBA65" s="37"/>
      <c r="MBB65" s="37"/>
      <c r="MBC65" s="37"/>
      <c r="MBD65" s="37"/>
      <c r="MBE65" s="37"/>
      <c r="MBF65" s="37"/>
      <c r="MBG65" s="37"/>
      <c r="MBH65" s="37"/>
      <c r="MBI65" s="37"/>
      <c r="MBJ65" s="37"/>
      <c r="MBK65" s="37"/>
      <c r="MBL65" s="37"/>
      <c r="MBM65" s="37"/>
      <c r="MBN65" s="37"/>
      <c r="MBO65" s="37"/>
      <c r="MBP65" s="37"/>
      <c r="MBQ65" s="37"/>
      <c r="MBR65" s="37"/>
      <c r="MBS65" s="37"/>
      <c r="MBT65" s="37"/>
      <c r="MBU65" s="37"/>
      <c r="MBV65" s="37"/>
      <c r="MBW65" s="37"/>
      <c r="MBX65" s="37"/>
      <c r="MBY65" s="37"/>
      <c r="MBZ65" s="37"/>
      <c r="MCA65" s="37"/>
      <c r="MCB65" s="37"/>
      <c r="MCC65" s="37"/>
      <c r="MCD65" s="37"/>
      <c r="MCE65" s="37"/>
      <c r="MCF65" s="37"/>
      <c r="MCG65" s="37"/>
      <c r="MCH65" s="37"/>
      <c r="MCI65" s="37"/>
      <c r="MCJ65" s="37"/>
      <c r="MCK65" s="37"/>
      <c r="MCL65" s="37"/>
      <c r="MCM65" s="37"/>
      <c r="MCN65" s="37"/>
      <c r="MCO65" s="37"/>
      <c r="MCP65" s="37"/>
      <c r="MCQ65" s="37"/>
      <c r="MCR65" s="37"/>
      <c r="MCS65" s="37"/>
      <c r="MCT65" s="37"/>
      <c r="MCU65" s="37"/>
      <c r="MCV65" s="37"/>
      <c r="MCW65" s="37"/>
      <c r="MCX65" s="37"/>
      <c r="MCY65" s="37"/>
      <c r="MCZ65" s="37"/>
      <c r="MDA65" s="37"/>
      <c r="MDB65" s="37"/>
      <c r="MDC65" s="37"/>
      <c r="MDD65" s="37"/>
      <c r="MDE65" s="37"/>
      <c r="MDF65" s="37"/>
      <c r="MDG65" s="37"/>
      <c r="MDH65" s="37"/>
      <c r="MDI65" s="37"/>
      <c r="MDJ65" s="37"/>
      <c r="MDK65" s="37"/>
      <c r="MDL65" s="37"/>
      <c r="MDM65" s="37"/>
      <c r="MDN65" s="37"/>
      <c r="MDO65" s="37"/>
      <c r="MDP65" s="37"/>
      <c r="MDQ65" s="37"/>
      <c r="MDR65" s="37"/>
      <c r="MDS65" s="37"/>
      <c r="MDT65" s="37"/>
      <c r="MDU65" s="37"/>
      <c r="MDV65" s="37"/>
      <c r="MDW65" s="37"/>
      <c r="MDX65" s="37"/>
      <c r="MDY65" s="37"/>
      <c r="MDZ65" s="37"/>
      <c r="MEA65" s="37"/>
      <c r="MEB65" s="37"/>
      <c r="MEC65" s="37"/>
      <c r="MED65" s="37"/>
      <c r="MEE65" s="37"/>
      <c r="MEF65" s="37"/>
      <c r="MEG65" s="37"/>
      <c r="MEH65" s="37"/>
      <c r="MEI65" s="37"/>
      <c r="MEJ65" s="37"/>
      <c r="MEK65" s="37"/>
      <c r="MEL65" s="37"/>
      <c r="MEM65" s="37"/>
      <c r="MEN65" s="37"/>
      <c r="MEO65" s="37"/>
      <c r="MEP65" s="37"/>
      <c r="MEQ65" s="37"/>
      <c r="MER65" s="37"/>
      <c r="MES65" s="37"/>
      <c r="MET65" s="37"/>
      <c r="MEU65" s="37"/>
      <c r="MEV65" s="37"/>
      <c r="MEW65" s="37"/>
      <c r="MEX65" s="37"/>
      <c r="MEY65" s="37"/>
      <c r="MEZ65" s="37"/>
      <c r="MFA65" s="37"/>
      <c r="MFB65" s="37"/>
      <c r="MFC65" s="37"/>
      <c r="MFD65" s="37"/>
      <c r="MFE65" s="37"/>
      <c r="MFF65" s="37"/>
      <c r="MFG65" s="37"/>
      <c r="MFH65" s="37"/>
      <c r="MFI65" s="37"/>
      <c r="MFJ65" s="37"/>
      <c r="MFK65" s="37"/>
      <c r="MFL65" s="37"/>
      <c r="MFM65" s="37"/>
      <c r="MFN65" s="37"/>
      <c r="MFO65" s="37"/>
      <c r="MFP65" s="37"/>
      <c r="MFQ65" s="37"/>
      <c r="MFR65" s="37"/>
      <c r="MFS65" s="37"/>
      <c r="MFT65" s="37"/>
      <c r="MFU65" s="37"/>
      <c r="MFV65" s="37"/>
      <c r="MFW65" s="37"/>
      <c r="MFX65" s="37"/>
      <c r="MFY65" s="37"/>
      <c r="MFZ65" s="37"/>
      <c r="MGA65" s="37"/>
      <c r="MGB65" s="37"/>
      <c r="MGC65" s="37"/>
      <c r="MGD65" s="37"/>
      <c r="MGE65" s="37"/>
      <c r="MGF65" s="37"/>
      <c r="MGG65" s="37"/>
      <c r="MGH65" s="37"/>
      <c r="MGI65" s="37"/>
      <c r="MGJ65" s="37"/>
      <c r="MGK65" s="37"/>
      <c r="MGL65" s="37"/>
      <c r="MGM65" s="37"/>
      <c r="MGN65" s="37"/>
      <c r="MGO65" s="37"/>
      <c r="MGP65" s="37"/>
      <c r="MGQ65" s="37"/>
      <c r="MGR65" s="37"/>
      <c r="MGS65" s="37"/>
      <c r="MGT65" s="37"/>
      <c r="MGU65" s="37"/>
      <c r="MGV65" s="37"/>
      <c r="MGW65" s="37"/>
      <c r="MGX65" s="37"/>
      <c r="MGY65" s="37"/>
      <c r="MGZ65" s="37"/>
      <c r="MHA65" s="37"/>
      <c r="MHB65" s="37"/>
      <c r="MHC65" s="37"/>
      <c r="MHD65" s="37"/>
      <c r="MHE65" s="37"/>
      <c r="MHF65" s="37"/>
      <c r="MHG65" s="37"/>
      <c r="MHH65" s="37"/>
      <c r="MHI65" s="37"/>
      <c r="MHJ65" s="37"/>
      <c r="MHK65" s="37"/>
      <c r="MHL65" s="37"/>
      <c r="MHM65" s="37"/>
      <c r="MHN65" s="37"/>
      <c r="MHO65" s="37"/>
      <c r="MHP65" s="37"/>
      <c r="MHQ65" s="37"/>
      <c r="MHR65" s="37"/>
      <c r="MHS65" s="37"/>
      <c r="MHT65" s="37"/>
      <c r="MHU65" s="37"/>
      <c r="MHV65" s="37"/>
      <c r="MHW65" s="37"/>
      <c r="MHX65" s="37"/>
      <c r="MHY65" s="37"/>
      <c r="MHZ65" s="37"/>
      <c r="MIA65" s="37"/>
      <c r="MIB65" s="37"/>
      <c r="MIC65" s="37"/>
      <c r="MID65" s="37"/>
      <c r="MIE65" s="37"/>
      <c r="MIF65" s="37"/>
      <c r="MIG65" s="37"/>
      <c r="MIH65" s="37"/>
      <c r="MII65" s="37"/>
      <c r="MIJ65" s="37"/>
      <c r="MIK65" s="37"/>
      <c r="MIL65" s="37"/>
      <c r="MIM65" s="37"/>
      <c r="MIN65" s="37"/>
      <c r="MIO65" s="37"/>
      <c r="MIP65" s="37"/>
      <c r="MIQ65" s="37"/>
      <c r="MIR65" s="37"/>
      <c r="MIS65" s="37"/>
      <c r="MIT65" s="37"/>
      <c r="MIU65" s="37"/>
      <c r="MIV65" s="37"/>
      <c r="MIW65" s="37"/>
      <c r="MIX65" s="37"/>
      <c r="MIY65" s="37"/>
      <c r="MIZ65" s="37"/>
      <c r="MJA65" s="37"/>
      <c r="MJB65" s="37"/>
      <c r="MJC65" s="37"/>
      <c r="MJD65" s="37"/>
      <c r="MJE65" s="37"/>
      <c r="MJF65" s="37"/>
      <c r="MJG65" s="37"/>
      <c r="MJH65" s="37"/>
      <c r="MJI65" s="37"/>
      <c r="MJJ65" s="37"/>
      <c r="MJK65" s="37"/>
      <c r="MJL65" s="37"/>
      <c r="MJM65" s="37"/>
      <c r="MJN65" s="37"/>
      <c r="MJO65" s="37"/>
      <c r="MJP65" s="37"/>
      <c r="MJQ65" s="37"/>
      <c r="MJR65" s="37"/>
      <c r="MJS65" s="37"/>
      <c r="MJT65" s="37"/>
      <c r="MJU65" s="37"/>
      <c r="MJV65" s="37"/>
      <c r="MJW65" s="37"/>
      <c r="MJX65" s="37"/>
      <c r="MJY65" s="37"/>
      <c r="MJZ65" s="37"/>
      <c r="MKA65" s="37"/>
      <c r="MKB65" s="37"/>
      <c r="MKC65" s="37"/>
      <c r="MKD65" s="37"/>
      <c r="MKE65" s="37"/>
      <c r="MKF65" s="37"/>
      <c r="MKG65" s="37"/>
      <c r="MKH65" s="37"/>
      <c r="MKI65" s="37"/>
      <c r="MKJ65" s="37"/>
      <c r="MKK65" s="37"/>
      <c r="MKL65" s="37"/>
      <c r="MKM65" s="37"/>
      <c r="MKN65" s="37"/>
      <c r="MKO65" s="37"/>
      <c r="MKP65" s="37"/>
      <c r="MKQ65" s="37"/>
      <c r="MKR65" s="37"/>
      <c r="MKS65" s="37"/>
      <c r="MKT65" s="37"/>
      <c r="MKU65" s="37"/>
      <c r="MKV65" s="37"/>
      <c r="MKW65" s="37"/>
      <c r="MKX65" s="37"/>
      <c r="MKY65" s="37"/>
      <c r="MKZ65" s="37"/>
      <c r="MLA65" s="37"/>
      <c r="MLB65" s="37"/>
      <c r="MLC65" s="37"/>
      <c r="MLD65" s="37"/>
      <c r="MLE65" s="37"/>
      <c r="MLF65" s="37"/>
      <c r="MLG65" s="37"/>
      <c r="MLH65" s="37"/>
      <c r="MLI65" s="37"/>
      <c r="MLJ65" s="37"/>
      <c r="MLK65" s="37"/>
      <c r="MLL65" s="37"/>
      <c r="MLM65" s="37"/>
      <c r="MLN65" s="37"/>
      <c r="MLO65" s="37"/>
      <c r="MLP65" s="37"/>
      <c r="MLQ65" s="37"/>
      <c r="MLR65" s="37"/>
      <c r="MLS65" s="37"/>
      <c r="MLT65" s="37"/>
      <c r="MLU65" s="37"/>
      <c r="MLV65" s="37"/>
      <c r="MLW65" s="37"/>
      <c r="MLX65" s="37"/>
      <c r="MLY65" s="37"/>
      <c r="MLZ65" s="37"/>
      <c r="MMA65" s="37"/>
      <c r="MMB65" s="37"/>
      <c r="MMC65" s="37"/>
      <c r="MMD65" s="37"/>
      <c r="MME65" s="37"/>
      <c r="MMF65" s="37"/>
      <c r="MMG65" s="37"/>
      <c r="MMH65" s="37"/>
      <c r="MMI65" s="37"/>
      <c r="MMJ65" s="37"/>
      <c r="MMK65" s="37"/>
      <c r="MML65" s="37"/>
      <c r="MMM65" s="37"/>
      <c r="MMN65" s="37"/>
      <c r="MMO65" s="37"/>
      <c r="MMP65" s="37"/>
      <c r="MMQ65" s="37"/>
      <c r="MMR65" s="37"/>
      <c r="MMS65" s="37"/>
      <c r="MMT65" s="37"/>
      <c r="MMU65" s="37"/>
      <c r="MMV65" s="37"/>
      <c r="MMW65" s="37"/>
      <c r="MMX65" s="37"/>
      <c r="MMY65" s="37"/>
      <c r="MMZ65" s="37"/>
      <c r="MNA65" s="37"/>
      <c r="MNB65" s="37"/>
      <c r="MNC65" s="37"/>
      <c r="MND65" s="37"/>
      <c r="MNE65" s="37"/>
      <c r="MNF65" s="37"/>
      <c r="MNG65" s="37"/>
      <c r="MNH65" s="37"/>
      <c r="MNI65" s="37"/>
      <c r="MNJ65" s="37"/>
      <c r="MNK65" s="37"/>
      <c r="MNL65" s="37"/>
      <c r="MNM65" s="37"/>
      <c r="MNN65" s="37"/>
      <c r="MNO65" s="37"/>
      <c r="MNP65" s="37"/>
      <c r="MNQ65" s="37"/>
      <c r="MNR65" s="37"/>
      <c r="MNS65" s="37"/>
      <c r="MNT65" s="37"/>
      <c r="MNU65" s="37"/>
      <c r="MNV65" s="37"/>
      <c r="MNW65" s="37"/>
      <c r="MNX65" s="37"/>
      <c r="MNY65" s="37"/>
      <c r="MNZ65" s="37"/>
      <c r="MOA65" s="37"/>
      <c r="MOB65" s="37"/>
      <c r="MOC65" s="37"/>
      <c r="MOD65" s="37"/>
      <c r="MOE65" s="37"/>
      <c r="MOF65" s="37"/>
      <c r="MOG65" s="37"/>
      <c r="MOH65" s="37"/>
      <c r="MOI65" s="37"/>
      <c r="MOJ65" s="37"/>
      <c r="MOK65" s="37"/>
      <c r="MOL65" s="37"/>
      <c r="MOM65" s="37"/>
      <c r="MON65" s="37"/>
      <c r="MOO65" s="37"/>
      <c r="MOP65" s="37"/>
      <c r="MOQ65" s="37"/>
      <c r="MOR65" s="37"/>
      <c r="MOS65" s="37"/>
      <c r="MOT65" s="37"/>
      <c r="MOU65" s="37"/>
      <c r="MOV65" s="37"/>
      <c r="MOW65" s="37"/>
      <c r="MOX65" s="37"/>
      <c r="MOY65" s="37"/>
      <c r="MOZ65" s="37"/>
      <c r="MPA65" s="37"/>
      <c r="MPB65" s="37"/>
      <c r="MPC65" s="37"/>
      <c r="MPD65" s="37"/>
      <c r="MPE65" s="37"/>
      <c r="MPF65" s="37"/>
      <c r="MPG65" s="37"/>
      <c r="MPH65" s="37"/>
      <c r="MPI65" s="37"/>
      <c r="MPJ65" s="37"/>
      <c r="MPK65" s="37"/>
      <c r="MPL65" s="37"/>
      <c r="MPM65" s="37"/>
      <c r="MPN65" s="37"/>
      <c r="MPO65" s="37"/>
      <c r="MPP65" s="37"/>
      <c r="MPQ65" s="37"/>
      <c r="MPR65" s="37"/>
      <c r="MPS65" s="37"/>
      <c r="MPT65" s="37"/>
      <c r="MPU65" s="37"/>
      <c r="MPV65" s="37"/>
      <c r="MPW65" s="37"/>
      <c r="MPX65" s="37"/>
      <c r="MPY65" s="37"/>
      <c r="MPZ65" s="37"/>
      <c r="MQA65" s="37"/>
      <c r="MQB65" s="37"/>
      <c r="MQC65" s="37"/>
      <c r="MQD65" s="37"/>
      <c r="MQE65" s="37"/>
      <c r="MQF65" s="37"/>
      <c r="MQG65" s="37"/>
      <c r="MQH65" s="37"/>
      <c r="MQI65" s="37"/>
      <c r="MQJ65" s="37"/>
      <c r="MQK65" s="37"/>
      <c r="MQL65" s="37"/>
      <c r="MQM65" s="37"/>
      <c r="MQN65" s="37"/>
      <c r="MQO65" s="37"/>
      <c r="MQP65" s="37"/>
      <c r="MQQ65" s="37"/>
      <c r="MQR65" s="37"/>
      <c r="MQS65" s="37"/>
      <c r="MQT65" s="37"/>
      <c r="MQU65" s="37"/>
      <c r="MQV65" s="37"/>
      <c r="MQW65" s="37"/>
      <c r="MQX65" s="37"/>
      <c r="MQY65" s="37"/>
      <c r="MQZ65" s="37"/>
      <c r="MRA65" s="37"/>
      <c r="MRB65" s="37"/>
      <c r="MRC65" s="37"/>
      <c r="MRD65" s="37"/>
      <c r="MRE65" s="37"/>
      <c r="MRF65" s="37"/>
      <c r="MRG65" s="37"/>
      <c r="MRH65" s="37"/>
      <c r="MRI65" s="37"/>
      <c r="MRJ65" s="37"/>
      <c r="MRK65" s="37"/>
      <c r="MRL65" s="37"/>
      <c r="MRM65" s="37"/>
      <c r="MRN65" s="37"/>
      <c r="MRO65" s="37"/>
      <c r="MRP65" s="37"/>
      <c r="MRQ65" s="37"/>
      <c r="MRR65" s="37"/>
      <c r="MRS65" s="37"/>
      <c r="MRT65" s="37"/>
      <c r="MRU65" s="37"/>
      <c r="MRV65" s="37"/>
      <c r="MRW65" s="37"/>
      <c r="MRX65" s="37"/>
      <c r="MRY65" s="37"/>
      <c r="MRZ65" s="37"/>
      <c r="MSA65" s="37"/>
      <c r="MSB65" s="37"/>
      <c r="MSC65" s="37"/>
      <c r="MSD65" s="37"/>
      <c r="MSE65" s="37"/>
      <c r="MSF65" s="37"/>
      <c r="MSG65" s="37"/>
      <c r="MSH65" s="37"/>
      <c r="MSI65" s="37"/>
      <c r="MSJ65" s="37"/>
      <c r="MSK65" s="37"/>
      <c r="MSL65" s="37"/>
      <c r="MSM65" s="37"/>
      <c r="MSN65" s="37"/>
      <c r="MSO65" s="37"/>
      <c r="MSP65" s="37"/>
      <c r="MSQ65" s="37"/>
      <c r="MSR65" s="37"/>
      <c r="MSS65" s="37"/>
      <c r="MST65" s="37"/>
      <c r="MSU65" s="37"/>
      <c r="MSV65" s="37"/>
      <c r="MSW65" s="37"/>
      <c r="MSX65" s="37"/>
      <c r="MSY65" s="37"/>
      <c r="MSZ65" s="37"/>
      <c r="MTA65" s="37"/>
      <c r="MTB65" s="37"/>
      <c r="MTC65" s="37"/>
      <c r="MTD65" s="37"/>
      <c r="MTE65" s="37"/>
      <c r="MTF65" s="37"/>
      <c r="MTG65" s="37"/>
      <c r="MTH65" s="37"/>
      <c r="MTI65" s="37"/>
      <c r="MTJ65" s="37"/>
      <c r="MTK65" s="37"/>
      <c r="MTL65" s="37"/>
      <c r="MTM65" s="37"/>
      <c r="MTN65" s="37"/>
      <c r="MTO65" s="37"/>
      <c r="MTP65" s="37"/>
      <c r="MTQ65" s="37"/>
      <c r="MTR65" s="37"/>
      <c r="MTS65" s="37"/>
      <c r="MTT65" s="37"/>
      <c r="MTU65" s="37"/>
      <c r="MTV65" s="37"/>
      <c r="MTW65" s="37"/>
      <c r="MTX65" s="37"/>
      <c r="MTY65" s="37"/>
      <c r="MTZ65" s="37"/>
      <c r="MUA65" s="37"/>
      <c r="MUB65" s="37"/>
      <c r="MUC65" s="37"/>
      <c r="MUD65" s="37"/>
      <c r="MUE65" s="37"/>
      <c r="MUF65" s="37"/>
      <c r="MUG65" s="37"/>
      <c r="MUH65" s="37"/>
      <c r="MUI65" s="37"/>
      <c r="MUJ65" s="37"/>
      <c r="MUK65" s="37"/>
      <c r="MUL65" s="37"/>
      <c r="MUM65" s="37"/>
      <c r="MUN65" s="37"/>
      <c r="MUO65" s="37"/>
      <c r="MUP65" s="37"/>
      <c r="MUQ65" s="37"/>
      <c r="MUR65" s="37"/>
      <c r="MUS65" s="37"/>
      <c r="MUT65" s="37"/>
      <c r="MUU65" s="37"/>
      <c r="MUV65" s="37"/>
      <c r="MUW65" s="37"/>
      <c r="MUX65" s="37"/>
      <c r="MUY65" s="37"/>
      <c r="MUZ65" s="37"/>
      <c r="MVA65" s="37"/>
      <c r="MVB65" s="37"/>
      <c r="MVC65" s="37"/>
      <c r="MVD65" s="37"/>
      <c r="MVE65" s="37"/>
      <c r="MVF65" s="37"/>
      <c r="MVG65" s="37"/>
      <c r="MVH65" s="37"/>
      <c r="MVI65" s="37"/>
      <c r="MVJ65" s="37"/>
      <c r="MVK65" s="37"/>
      <c r="MVL65" s="37"/>
      <c r="MVM65" s="37"/>
      <c r="MVN65" s="37"/>
      <c r="MVO65" s="37"/>
      <c r="MVP65" s="37"/>
      <c r="MVQ65" s="37"/>
      <c r="MVR65" s="37"/>
      <c r="MVS65" s="37"/>
      <c r="MVT65" s="37"/>
      <c r="MVU65" s="37"/>
      <c r="MVV65" s="37"/>
      <c r="MVW65" s="37"/>
      <c r="MVX65" s="37"/>
      <c r="MVY65" s="37"/>
      <c r="MVZ65" s="37"/>
      <c r="MWA65" s="37"/>
      <c r="MWB65" s="37"/>
      <c r="MWC65" s="37"/>
      <c r="MWD65" s="37"/>
      <c r="MWE65" s="37"/>
      <c r="MWF65" s="37"/>
      <c r="MWG65" s="37"/>
      <c r="MWH65" s="37"/>
      <c r="MWI65" s="37"/>
      <c r="MWJ65" s="37"/>
      <c r="MWK65" s="37"/>
      <c r="MWL65" s="37"/>
      <c r="MWM65" s="37"/>
      <c r="MWN65" s="37"/>
      <c r="MWO65" s="37"/>
      <c r="MWP65" s="37"/>
      <c r="MWQ65" s="37"/>
      <c r="MWR65" s="37"/>
      <c r="MWS65" s="37"/>
      <c r="MWT65" s="37"/>
      <c r="MWU65" s="37"/>
      <c r="MWV65" s="37"/>
      <c r="MWW65" s="37"/>
      <c r="MWX65" s="37"/>
      <c r="MWY65" s="37"/>
      <c r="MWZ65" s="37"/>
      <c r="MXA65" s="37"/>
      <c r="MXB65" s="37"/>
      <c r="MXC65" s="37"/>
      <c r="MXD65" s="37"/>
      <c r="MXE65" s="37"/>
      <c r="MXF65" s="37"/>
      <c r="MXG65" s="37"/>
      <c r="MXH65" s="37"/>
      <c r="MXI65" s="37"/>
      <c r="MXJ65" s="37"/>
      <c r="MXK65" s="37"/>
      <c r="MXL65" s="37"/>
      <c r="MXM65" s="37"/>
      <c r="MXN65" s="37"/>
      <c r="MXO65" s="37"/>
      <c r="MXP65" s="37"/>
      <c r="MXQ65" s="37"/>
      <c r="MXR65" s="37"/>
      <c r="MXS65" s="37"/>
      <c r="MXT65" s="37"/>
      <c r="MXU65" s="37"/>
      <c r="MXV65" s="37"/>
      <c r="MXW65" s="37"/>
      <c r="MXX65" s="37"/>
      <c r="MXY65" s="37"/>
      <c r="MXZ65" s="37"/>
      <c r="MYA65" s="37"/>
      <c r="MYB65" s="37"/>
      <c r="MYC65" s="37"/>
      <c r="MYD65" s="37"/>
      <c r="MYE65" s="37"/>
      <c r="MYF65" s="37"/>
      <c r="MYG65" s="37"/>
      <c r="MYH65" s="37"/>
      <c r="MYI65" s="37"/>
      <c r="MYJ65" s="37"/>
      <c r="MYK65" s="37"/>
      <c r="MYL65" s="37"/>
      <c r="MYM65" s="37"/>
      <c r="MYN65" s="37"/>
      <c r="MYO65" s="37"/>
      <c r="MYP65" s="37"/>
      <c r="MYQ65" s="37"/>
      <c r="MYR65" s="37"/>
      <c r="MYS65" s="37"/>
      <c r="MYT65" s="37"/>
      <c r="MYU65" s="37"/>
      <c r="MYV65" s="37"/>
      <c r="MYW65" s="37"/>
      <c r="MYX65" s="37"/>
      <c r="MYY65" s="37"/>
      <c r="MYZ65" s="37"/>
      <c r="MZA65" s="37"/>
      <c r="MZB65" s="37"/>
      <c r="MZC65" s="37"/>
      <c r="MZD65" s="37"/>
      <c r="MZE65" s="37"/>
      <c r="MZF65" s="37"/>
      <c r="MZG65" s="37"/>
      <c r="MZH65" s="37"/>
      <c r="MZI65" s="37"/>
      <c r="MZJ65" s="37"/>
      <c r="MZK65" s="37"/>
      <c r="MZL65" s="37"/>
      <c r="MZM65" s="37"/>
      <c r="MZN65" s="37"/>
      <c r="MZO65" s="37"/>
      <c r="MZP65" s="37"/>
      <c r="MZQ65" s="37"/>
      <c r="MZR65" s="37"/>
      <c r="MZS65" s="37"/>
      <c r="MZT65" s="37"/>
      <c r="MZU65" s="37"/>
      <c r="MZV65" s="37"/>
      <c r="MZW65" s="37"/>
      <c r="MZX65" s="37"/>
      <c r="MZY65" s="37"/>
      <c r="MZZ65" s="37"/>
      <c r="NAA65" s="37"/>
      <c r="NAB65" s="37"/>
      <c r="NAC65" s="37"/>
      <c r="NAD65" s="37"/>
      <c r="NAE65" s="37"/>
      <c r="NAF65" s="37"/>
      <c r="NAG65" s="37"/>
      <c r="NAH65" s="37"/>
      <c r="NAI65" s="37"/>
      <c r="NAJ65" s="37"/>
      <c r="NAK65" s="37"/>
      <c r="NAL65" s="37"/>
      <c r="NAM65" s="37"/>
      <c r="NAN65" s="37"/>
      <c r="NAO65" s="37"/>
      <c r="NAP65" s="37"/>
      <c r="NAQ65" s="37"/>
      <c r="NAR65" s="37"/>
      <c r="NAS65" s="37"/>
      <c r="NAT65" s="37"/>
      <c r="NAU65" s="37"/>
      <c r="NAV65" s="37"/>
      <c r="NAW65" s="37"/>
      <c r="NAX65" s="37"/>
      <c r="NAY65" s="37"/>
      <c r="NAZ65" s="37"/>
      <c r="NBA65" s="37"/>
      <c r="NBB65" s="37"/>
      <c r="NBC65" s="37"/>
      <c r="NBD65" s="37"/>
      <c r="NBE65" s="37"/>
      <c r="NBF65" s="37"/>
      <c r="NBG65" s="37"/>
      <c r="NBH65" s="37"/>
      <c r="NBI65" s="37"/>
      <c r="NBJ65" s="37"/>
      <c r="NBK65" s="37"/>
      <c r="NBL65" s="37"/>
      <c r="NBM65" s="37"/>
      <c r="NBN65" s="37"/>
      <c r="NBO65" s="37"/>
      <c r="NBP65" s="37"/>
      <c r="NBQ65" s="37"/>
      <c r="NBR65" s="37"/>
      <c r="NBS65" s="37"/>
      <c r="NBT65" s="37"/>
      <c r="NBU65" s="37"/>
      <c r="NBV65" s="37"/>
      <c r="NBW65" s="37"/>
      <c r="NBX65" s="37"/>
      <c r="NBY65" s="37"/>
      <c r="NBZ65" s="37"/>
      <c r="NCA65" s="37"/>
      <c r="NCB65" s="37"/>
      <c r="NCC65" s="37"/>
      <c r="NCD65" s="37"/>
      <c r="NCE65" s="37"/>
      <c r="NCF65" s="37"/>
      <c r="NCG65" s="37"/>
      <c r="NCH65" s="37"/>
      <c r="NCI65" s="37"/>
      <c r="NCJ65" s="37"/>
      <c r="NCK65" s="37"/>
      <c r="NCL65" s="37"/>
      <c r="NCM65" s="37"/>
      <c r="NCN65" s="37"/>
      <c r="NCO65" s="37"/>
      <c r="NCP65" s="37"/>
      <c r="NCQ65" s="37"/>
      <c r="NCR65" s="37"/>
      <c r="NCS65" s="37"/>
      <c r="NCT65" s="37"/>
      <c r="NCU65" s="37"/>
      <c r="NCV65" s="37"/>
      <c r="NCW65" s="37"/>
      <c r="NCX65" s="37"/>
      <c r="NCY65" s="37"/>
      <c r="NCZ65" s="37"/>
      <c r="NDA65" s="37"/>
      <c r="NDB65" s="37"/>
      <c r="NDC65" s="37"/>
      <c r="NDD65" s="37"/>
      <c r="NDE65" s="37"/>
      <c r="NDF65" s="37"/>
      <c r="NDG65" s="37"/>
      <c r="NDH65" s="37"/>
      <c r="NDI65" s="37"/>
      <c r="NDJ65" s="37"/>
      <c r="NDK65" s="37"/>
      <c r="NDL65" s="37"/>
      <c r="NDM65" s="37"/>
      <c r="NDN65" s="37"/>
      <c r="NDO65" s="37"/>
      <c r="NDP65" s="37"/>
      <c r="NDQ65" s="37"/>
      <c r="NDR65" s="37"/>
      <c r="NDS65" s="37"/>
      <c r="NDT65" s="37"/>
      <c r="NDU65" s="37"/>
      <c r="NDV65" s="37"/>
      <c r="NDW65" s="37"/>
      <c r="NDX65" s="37"/>
      <c r="NDY65" s="37"/>
      <c r="NDZ65" s="37"/>
      <c r="NEA65" s="37"/>
      <c r="NEB65" s="37"/>
      <c r="NEC65" s="37"/>
      <c r="NED65" s="37"/>
      <c r="NEE65" s="37"/>
      <c r="NEF65" s="37"/>
      <c r="NEG65" s="37"/>
      <c r="NEH65" s="37"/>
      <c r="NEI65" s="37"/>
      <c r="NEJ65" s="37"/>
      <c r="NEK65" s="37"/>
      <c r="NEL65" s="37"/>
      <c r="NEM65" s="37"/>
      <c r="NEN65" s="37"/>
      <c r="NEO65" s="37"/>
      <c r="NEP65" s="37"/>
      <c r="NEQ65" s="37"/>
      <c r="NER65" s="37"/>
      <c r="NES65" s="37"/>
      <c r="NET65" s="37"/>
      <c r="NEU65" s="37"/>
      <c r="NEV65" s="37"/>
      <c r="NEW65" s="37"/>
      <c r="NEX65" s="37"/>
      <c r="NEY65" s="37"/>
      <c r="NEZ65" s="37"/>
      <c r="NFA65" s="37"/>
      <c r="NFB65" s="37"/>
      <c r="NFC65" s="37"/>
      <c r="NFD65" s="37"/>
      <c r="NFE65" s="37"/>
      <c r="NFF65" s="37"/>
      <c r="NFG65" s="37"/>
      <c r="NFH65" s="37"/>
      <c r="NFI65" s="37"/>
      <c r="NFJ65" s="37"/>
      <c r="NFK65" s="37"/>
      <c r="NFL65" s="37"/>
      <c r="NFM65" s="37"/>
      <c r="NFN65" s="37"/>
      <c r="NFO65" s="37"/>
      <c r="NFP65" s="37"/>
      <c r="NFQ65" s="37"/>
      <c r="NFR65" s="37"/>
      <c r="NFS65" s="37"/>
      <c r="NFT65" s="37"/>
      <c r="NFU65" s="37"/>
      <c r="NFV65" s="37"/>
      <c r="NFW65" s="37"/>
      <c r="NFX65" s="37"/>
      <c r="NFY65" s="37"/>
      <c r="NFZ65" s="37"/>
      <c r="NGA65" s="37"/>
      <c r="NGB65" s="37"/>
      <c r="NGC65" s="37"/>
      <c r="NGD65" s="37"/>
      <c r="NGE65" s="37"/>
      <c r="NGF65" s="37"/>
      <c r="NGG65" s="37"/>
      <c r="NGH65" s="37"/>
      <c r="NGI65" s="37"/>
      <c r="NGJ65" s="37"/>
      <c r="NGK65" s="37"/>
      <c r="NGL65" s="37"/>
      <c r="NGM65" s="37"/>
      <c r="NGN65" s="37"/>
      <c r="NGO65" s="37"/>
      <c r="NGP65" s="37"/>
      <c r="NGQ65" s="37"/>
      <c r="NGR65" s="37"/>
      <c r="NGS65" s="37"/>
      <c r="NGT65" s="37"/>
      <c r="NGU65" s="37"/>
      <c r="NGV65" s="37"/>
      <c r="NGW65" s="37"/>
      <c r="NGX65" s="37"/>
      <c r="NGY65" s="37"/>
      <c r="NGZ65" s="37"/>
      <c r="NHA65" s="37"/>
      <c r="NHB65" s="37"/>
      <c r="NHC65" s="37"/>
      <c r="NHD65" s="37"/>
      <c r="NHE65" s="37"/>
      <c r="NHF65" s="37"/>
      <c r="NHG65" s="37"/>
      <c r="NHH65" s="37"/>
      <c r="NHI65" s="37"/>
      <c r="NHJ65" s="37"/>
      <c r="NHK65" s="37"/>
      <c r="NHL65" s="37"/>
      <c r="NHM65" s="37"/>
      <c r="NHN65" s="37"/>
      <c r="NHO65" s="37"/>
      <c r="NHP65" s="37"/>
      <c r="NHQ65" s="37"/>
      <c r="NHR65" s="37"/>
      <c r="NHS65" s="37"/>
      <c r="NHT65" s="37"/>
      <c r="NHU65" s="37"/>
      <c r="NHV65" s="37"/>
      <c r="NHW65" s="37"/>
      <c r="NHX65" s="37"/>
      <c r="NHY65" s="37"/>
      <c r="NHZ65" s="37"/>
      <c r="NIA65" s="37"/>
      <c r="NIB65" s="37"/>
      <c r="NIC65" s="37"/>
      <c r="NID65" s="37"/>
      <c r="NIE65" s="37"/>
      <c r="NIF65" s="37"/>
      <c r="NIG65" s="37"/>
      <c r="NIH65" s="37"/>
      <c r="NII65" s="37"/>
      <c r="NIJ65" s="37"/>
      <c r="NIK65" s="37"/>
      <c r="NIL65" s="37"/>
      <c r="NIM65" s="37"/>
      <c r="NIN65" s="37"/>
      <c r="NIO65" s="37"/>
      <c r="NIP65" s="37"/>
      <c r="NIQ65" s="37"/>
      <c r="NIR65" s="37"/>
      <c r="NIS65" s="37"/>
      <c r="NIT65" s="37"/>
      <c r="NIU65" s="37"/>
      <c r="NIV65" s="37"/>
      <c r="NIW65" s="37"/>
      <c r="NIX65" s="37"/>
      <c r="NIY65" s="37"/>
      <c r="NIZ65" s="37"/>
      <c r="NJA65" s="37"/>
      <c r="NJB65" s="37"/>
      <c r="NJC65" s="37"/>
      <c r="NJD65" s="37"/>
      <c r="NJE65" s="37"/>
      <c r="NJF65" s="37"/>
      <c r="NJG65" s="37"/>
      <c r="NJH65" s="37"/>
      <c r="NJI65" s="37"/>
      <c r="NJJ65" s="37"/>
      <c r="NJK65" s="37"/>
      <c r="NJL65" s="37"/>
      <c r="NJM65" s="37"/>
      <c r="NJN65" s="37"/>
      <c r="NJO65" s="37"/>
      <c r="NJP65" s="37"/>
      <c r="NJQ65" s="37"/>
      <c r="NJR65" s="37"/>
      <c r="NJS65" s="37"/>
      <c r="NJT65" s="37"/>
      <c r="NJU65" s="37"/>
      <c r="NJV65" s="37"/>
      <c r="NJW65" s="37"/>
      <c r="NJX65" s="37"/>
      <c r="NJY65" s="37"/>
      <c r="NJZ65" s="37"/>
      <c r="NKA65" s="37"/>
      <c r="NKB65" s="37"/>
      <c r="NKC65" s="37"/>
      <c r="NKD65" s="37"/>
      <c r="NKE65" s="37"/>
      <c r="NKF65" s="37"/>
      <c r="NKG65" s="37"/>
      <c r="NKH65" s="37"/>
      <c r="NKI65" s="37"/>
      <c r="NKJ65" s="37"/>
      <c r="NKK65" s="37"/>
      <c r="NKL65" s="37"/>
      <c r="NKM65" s="37"/>
      <c r="NKN65" s="37"/>
      <c r="NKO65" s="37"/>
      <c r="NKP65" s="37"/>
      <c r="NKQ65" s="37"/>
      <c r="NKR65" s="37"/>
      <c r="NKS65" s="37"/>
      <c r="NKT65" s="37"/>
      <c r="NKU65" s="37"/>
      <c r="NKV65" s="37"/>
      <c r="NKW65" s="37"/>
      <c r="NKX65" s="37"/>
      <c r="NKY65" s="37"/>
      <c r="NKZ65" s="37"/>
      <c r="NLA65" s="37"/>
      <c r="NLB65" s="37"/>
      <c r="NLC65" s="37"/>
      <c r="NLD65" s="37"/>
      <c r="NLE65" s="37"/>
      <c r="NLF65" s="37"/>
      <c r="NLG65" s="37"/>
      <c r="NLH65" s="37"/>
      <c r="NLI65" s="37"/>
      <c r="NLJ65" s="37"/>
      <c r="NLK65" s="37"/>
      <c r="NLL65" s="37"/>
      <c r="NLM65" s="37"/>
      <c r="NLN65" s="37"/>
      <c r="NLO65" s="37"/>
      <c r="NLP65" s="37"/>
      <c r="NLQ65" s="37"/>
      <c r="NLR65" s="37"/>
      <c r="NLS65" s="37"/>
      <c r="NLT65" s="37"/>
      <c r="NLU65" s="37"/>
      <c r="NLV65" s="37"/>
      <c r="NLW65" s="37"/>
      <c r="NLX65" s="37"/>
      <c r="NLY65" s="37"/>
      <c r="NLZ65" s="37"/>
      <c r="NMA65" s="37"/>
      <c r="NMB65" s="37"/>
      <c r="NMC65" s="37"/>
      <c r="NMD65" s="37"/>
      <c r="NME65" s="37"/>
      <c r="NMF65" s="37"/>
      <c r="NMG65" s="37"/>
      <c r="NMH65" s="37"/>
      <c r="NMI65" s="37"/>
      <c r="NMJ65" s="37"/>
      <c r="NMK65" s="37"/>
      <c r="NML65" s="37"/>
      <c r="NMM65" s="37"/>
      <c r="NMN65" s="37"/>
      <c r="NMO65" s="37"/>
      <c r="NMP65" s="37"/>
      <c r="NMQ65" s="37"/>
      <c r="NMR65" s="37"/>
      <c r="NMS65" s="37"/>
      <c r="NMT65" s="37"/>
      <c r="NMU65" s="37"/>
      <c r="NMV65" s="37"/>
      <c r="NMW65" s="37"/>
      <c r="NMX65" s="37"/>
      <c r="NMY65" s="37"/>
      <c r="NMZ65" s="37"/>
      <c r="NNA65" s="37"/>
      <c r="NNB65" s="37"/>
      <c r="NNC65" s="37"/>
      <c r="NND65" s="37"/>
      <c r="NNE65" s="37"/>
      <c r="NNF65" s="37"/>
      <c r="NNG65" s="37"/>
      <c r="NNH65" s="37"/>
      <c r="NNI65" s="37"/>
      <c r="NNJ65" s="37"/>
      <c r="NNK65" s="37"/>
      <c r="NNL65" s="37"/>
      <c r="NNM65" s="37"/>
      <c r="NNN65" s="37"/>
      <c r="NNO65" s="37"/>
      <c r="NNP65" s="37"/>
      <c r="NNQ65" s="37"/>
      <c r="NNR65" s="37"/>
      <c r="NNS65" s="37"/>
      <c r="NNT65" s="37"/>
      <c r="NNU65" s="37"/>
      <c r="NNV65" s="37"/>
      <c r="NNW65" s="37"/>
      <c r="NNX65" s="37"/>
      <c r="NNY65" s="37"/>
      <c r="NNZ65" s="37"/>
      <c r="NOA65" s="37"/>
      <c r="NOB65" s="37"/>
      <c r="NOC65" s="37"/>
      <c r="NOD65" s="37"/>
      <c r="NOE65" s="37"/>
      <c r="NOF65" s="37"/>
      <c r="NOG65" s="37"/>
      <c r="NOH65" s="37"/>
      <c r="NOI65" s="37"/>
      <c r="NOJ65" s="37"/>
      <c r="NOK65" s="37"/>
      <c r="NOL65" s="37"/>
      <c r="NOM65" s="37"/>
      <c r="NON65" s="37"/>
      <c r="NOO65" s="37"/>
      <c r="NOP65" s="37"/>
      <c r="NOQ65" s="37"/>
      <c r="NOR65" s="37"/>
      <c r="NOS65" s="37"/>
      <c r="NOT65" s="37"/>
      <c r="NOU65" s="37"/>
      <c r="NOV65" s="37"/>
      <c r="NOW65" s="37"/>
      <c r="NOX65" s="37"/>
      <c r="NOY65" s="37"/>
      <c r="NOZ65" s="37"/>
      <c r="NPA65" s="37"/>
      <c r="NPB65" s="37"/>
      <c r="NPC65" s="37"/>
      <c r="NPD65" s="37"/>
      <c r="NPE65" s="37"/>
      <c r="NPF65" s="37"/>
      <c r="NPG65" s="37"/>
      <c r="NPH65" s="37"/>
      <c r="NPI65" s="37"/>
      <c r="NPJ65" s="37"/>
      <c r="NPK65" s="37"/>
      <c r="NPL65" s="37"/>
      <c r="NPM65" s="37"/>
      <c r="NPN65" s="37"/>
      <c r="NPO65" s="37"/>
      <c r="NPP65" s="37"/>
      <c r="NPQ65" s="37"/>
      <c r="NPR65" s="37"/>
      <c r="NPS65" s="37"/>
      <c r="NPT65" s="37"/>
      <c r="NPU65" s="37"/>
      <c r="NPV65" s="37"/>
      <c r="NPW65" s="37"/>
      <c r="NPX65" s="37"/>
      <c r="NPY65" s="37"/>
      <c r="NPZ65" s="37"/>
      <c r="NQA65" s="37"/>
      <c r="NQB65" s="37"/>
      <c r="NQC65" s="37"/>
      <c r="NQD65" s="37"/>
      <c r="NQE65" s="37"/>
      <c r="NQF65" s="37"/>
      <c r="NQG65" s="37"/>
      <c r="NQH65" s="37"/>
      <c r="NQI65" s="37"/>
      <c r="NQJ65" s="37"/>
      <c r="NQK65" s="37"/>
      <c r="NQL65" s="37"/>
      <c r="NQM65" s="37"/>
      <c r="NQN65" s="37"/>
      <c r="NQO65" s="37"/>
      <c r="NQP65" s="37"/>
      <c r="NQQ65" s="37"/>
      <c r="NQR65" s="37"/>
      <c r="NQS65" s="37"/>
      <c r="NQT65" s="37"/>
      <c r="NQU65" s="37"/>
      <c r="NQV65" s="37"/>
      <c r="NQW65" s="37"/>
      <c r="NQX65" s="37"/>
      <c r="NQY65" s="37"/>
      <c r="NQZ65" s="37"/>
      <c r="NRA65" s="37"/>
      <c r="NRB65" s="37"/>
      <c r="NRC65" s="37"/>
      <c r="NRD65" s="37"/>
      <c r="NRE65" s="37"/>
      <c r="NRF65" s="37"/>
      <c r="NRG65" s="37"/>
      <c r="NRH65" s="37"/>
      <c r="NRI65" s="37"/>
      <c r="NRJ65" s="37"/>
      <c r="NRK65" s="37"/>
      <c r="NRL65" s="37"/>
      <c r="NRM65" s="37"/>
      <c r="NRN65" s="37"/>
      <c r="NRO65" s="37"/>
      <c r="NRP65" s="37"/>
      <c r="NRQ65" s="37"/>
      <c r="NRR65" s="37"/>
      <c r="NRS65" s="37"/>
      <c r="NRT65" s="37"/>
      <c r="NRU65" s="37"/>
      <c r="NRV65" s="37"/>
      <c r="NRW65" s="37"/>
      <c r="NRX65" s="37"/>
      <c r="NRY65" s="37"/>
      <c r="NRZ65" s="37"/>
      <c r="NSA65" s="37"/>
      <c r="NSB65" s="37"/>
      <c r="NSC65" s="37"/>
      <c r="NSD65" s="37"/>
      <c r="NSE65" s="37"/>
      <c r="NSF65" s="37"/>
      <c r="NSG65" s="37"/>
      <c r="NSH65" s="37"/>
      <c r="NSI65" s="37"/>
      <c r="NSJ65" s="37"/>
      <c r="NSK65" s="37"/>
      <c r="NSL65" s="37"/>
      <c r="NSM65" s="37"/>
      <c r="NSN65" s="37"/>
      <c r="NSO65" s="37"/>
      <c r="NSP65" s="37"/>
      <c r="NSQ65" s="37"/>
      <c r="NSR65" s="37"/>
      <c r="NSS65" s="37"/>
      <c r="NST65" s="37"/>
      <c r="NSU65" s="37"/>
      <c r="NSV65" s="37"/>
      <c r="NSW65" s="37"/>
      <c r="NSX65" s="37"/>
      <c r="NSY65" s="37"/>
      <c r="NSZ65" s="37"/>
      <c r="NTA65" s="37"/>
      <c r="NTB65" s="37"/>
      <c r="NTC65" s="37"/>
      <c r="NTD65" s="37"/>
      <c r="NTE65" s="37"/>
      <c r="NTF65" s="37"/>
      <c r="NTG65" s="37"/>
      <c r="NTH65" s="37"/>
      <c r="NTI65" s="37"/>
      <c r="NTJ65" s="37"/>
      <c r="NTK65" s="37"/>
      <c r="NTL65" s="37"/>
      <c r="NTM65" s="37"/>
      <c r="NTN65" s="37"/>
      <c r="NTO65" s="37"/>
      <c r="NTP65" s="37"/>
      <c r="NTQ65" s="37"/>
      <c r="NTR65" s="37"/>
      <c r="NTS65" s="37"/>
      <c r="NTT65" s="37"/>
      <c r="NTU65" s="37"/>
      <c r="NTV65" s="37"/>
      <c r="NTW65" s="37"/>
      <c r="NTX65" s="37"/>
      <c r="NTY65" s="37"/>
      <c r="NTZ65" s="37"/>
      <c r="NUA65" s="37"/>
      <c r="NUB65" s="37"/>
      <c r="NUC65" s="37"/>
      <c r="NUD65" s="37"/>
      <c r="NUE65" s="37"/>
      <c r="NUF65" s="37"/>
      <c r="NUG65" s="37"/>
      <c r="NUH65" s="37"/>
      <c r="NUI65" s="37"/>
      <c r="NUJ65" s="37"/>
      <c r="NUK65" s="37"/>
      <c r="NUL65" s="37"/>
      <c r="NUM65" s="37"/>
      <c r="NUN65" s="37"/>
      <c r="NUO65" s="37"/>
      <c r="NUP65" s="37"/>
      <c r="NUQ65" s="37"/>
      <c r="NUR65" s="37"/>
      <c r="NUS65" s="37"/>
      <c r="NUT65" s="37"/>
      <c r="NUU65" s="37"/>
      <c r="NUV65" s="37"/>
      <c r="NUW65" s="37"/>
      <c r="NUX65" s="37"/>
      <c r="NUY65" s="37"/>
      <c r="NUZ65" s="37"/>
      <c r="NVA65" s="37"/>
      <c r="NVB65" s="37"/>
      <c r="NVC65" s="37"/>
      <c r="NVD65" s="37"/>
      <c r="NVE65" s="37"/>
      <c r="NVF65" s="37"/>
      <c r="NVG65" s="37"/>
      <c r="NVH65" s="37"/>
      <c r="NVI65" s="37"/>
      <c r="NVJ65" s="37"/>
      <c r="NVK65" s="37"/>
      <c r="NVL65" s="37"/>
      <c r="NVM65" s="37"/>
      <c r="NVN65" s="37"/>
      <c r="NVO65" s="37"/>
      <c r="NVP65" s="37"/>
      <c r="NVQ65" s="37"/>
      <c r="NVR65" s="37"/>
      <c r="NVS65" s="37"/>
      <c r="NVT65" s="37"/>
      <c r="NVU65" s="37"/>
      <c r="NVV65" s="37"/>
      <c r="NVW65" s="37"/>
      <c r="NVX65" s="37"/>
      <c r="NVY65" s="37"/>
      <c r="NVZ65" s="37"/>
      <c r="NWA65" s="37"/>
      <c r="NWB65" s="37"/>
      <c r="NWC65" s="37"/>
      <c r="NWD65" s="37"/>
      <c r="NWE65" s="37"/>
      <c r="NWF65" s="37"/>
      <c r="NWG65" s="37"/>
      <c r="NWH65" s="37"/>
      <c r="NWI65" s="37"/>
      <c r="NWJ65" s="37"/>
      <c r="NWK65" s="37"/>
      <c r="NWL65" s="37"/>
      <c r="NWM65" s="37"/>
      <c r="NWN65" s="37"/>
      <c r="NWO65" s="37"/>
      <c r="NWP65" s="37"/>
      <c r="NWQ65" s="37"/>
      <c r="NWR65" s="37"/>
      <c r="NWS65" s="37"/>
      <c r="NWT65" s="37"/>
      <c r="NWU65" s="37"/>
      <c r="NWV65" s="37"/>
      <c r="NWW65" s="37"/>
      <c r="NWX65" s="37"/>
      <c r="NWY65" s="37"/>
      <c r="NWZ65" s="37"/>
      <c r="NXA65" s="37"/>
      <c r="NXB65" s="37"/>
      <c r="NXC65" s="37"/>
      <c r="NXD65" s="37"/>
      <c r="NXE65" s="37"/>
      <c r="NXF65" s="37"/>
      <c r="NXG65" s="37"/>
      <c r="NXH65" s="37"/>
      <c r="NXI65" s="37"/>
      <c r="NXJ65" s="37"/>
      <c r="NXK65" s="37"/>
      <c r="NXL65" s="37"/>
      <c r="NXM65" s="37"/>
      <c r="NXN65" s="37"/>
      <c r="NXO65" s="37"/>
      <c r="NXP65" s="37"/>
      <c r="NXQ65" s="37"/>
      <c r="NXR65" s="37"/>
      <c r="NXS65" s="37"/>
      <c r="NXT65" s="37"/>
      <c r="NXU65" s="37"/>
      <c r="NXV65" s="37"/>
      <c r="NXW65" s="37"/>
      <c r="NXX65" s="37"/>
      <c r="NXY65" s="37"/>
      <c r="NXZ65" s="37"/>
      <c r="NYA65" s="37"/>
      <c r="NYB65" s="37"/>
      <c r="NYC65" s="37"/>
      <c r="NYD65" s="37"/>
      <c r="NYE65" s="37"/>
      <c r="NYF65" s="37"/>
      <c r="NYG65" s="37"/>
      <c r="NYH65" s="37"/>
      <c r="NYI65" s="37"/>
      <c r="NYJ65" s="37"/>
      <c r="NYK65" s="37"/>
      <c r="NYL65" s="37"/>
      <c r="NYM65" s="37"/>
      <c r="NYN65" s="37"/>
      <c r="NYO65" s="37"/>
      <c r="NYP65" s="37"/>
      <c r="NYQ65" s="37"/>
      <c r="NYR65" s="37"/>
      <c r="NYS65" s="37"/>
      <c r="NYT65" s="37"/>
      <c r="NYU65" s="37"/>
      <c r="NYV65" s="37"/>
      <c r="NYW65" s="37"/>
      <c r="NYX65" s="37"/>
      <c r="NYY65" s="37"/>
      <c r="NYZ65" s="37"/>
      <c r="NZA65" s="37"/>
      <c r="NZB65" s="37"/>
      <c r="NZC65" s="37"/>
      <c r="NZD65" s="37"/>
      <c r="NZE65" s="37"/>
      <c r="NZF65" s="37"/>
      <c r="NZG65" s="37"/>
      <c r="NZH65" s="37"/>
      <c r="NZI65" s="37"/>
      <c r="NZJ65" s="37"/>
      <c r="NZK65" s="37"/>
      <c r="NZL65" s="37"/>
      <c r="NZM65" s="37"/>
      <c r="NZN65" s="37"/>
      <c r="NZO65" s="37"/>
      <c r="NZP65" s="37"/>
      <c r="NZQ65" s="37"/>
      <c r="NZR65" s="37"/>
      <c r="NZS65" s="37"/>
      <c r="NZT65" s="37"/>
      <c r="NZU65" s="37"/>
      <c r="NZV65" s="37"/>
      <c r="NZW65" s="37"/>
      <c r="NZX65" s="37"/>
      <c r="NZY65" s="37"/>
      <c r="NZZ65" s="37"/>
      <c r="OAA65" s="37"/>
      <c r="OAB65" s="37"/>
      <c r="OAC65" s="37"/>
      <c r="OAD65" s="37"/>
      <c r="OAE65" s="37"/>
      <c r="OAF65" s="37"/>
      <c r="OAG65" s="37"/>
      <c r="OAH65" s="37"/>
      <c r="OAI65" s="37"/>
      <c r="OAJ65" s="37"/>
      <c r="OAK65" s="37"/>
      <c r="OAL65" s="37"/>
      <c r="OAM65" s="37"/>
      <c r="OAN65" s="37"/>
      <c r="OAO65" s="37"/>
      <c r="OAP65" s="37"/>
      <c r="OAQ65" s="37"/>
      <c r="OAR65" s="37"/>
      <c r="OAS65" s="37"/>
      <c r="OAT65" s="37"/>
      <c r="OAU65" s="37"/>
      <c r="OAV65" s="37"/>
      <c r="OAW65" s="37"/>
      <c r="OAX65" s="37"/>
      <c r="OAY65" s="37"/>
      <c r="OAZ65" s="37"/>
      <c r="OBA65" s="37"/>
      <c r="OBB65" s="37"/>
      <c r="OBC65" s="37"/>
      <c r="OBD65" s="37"/>
      <c r="OBE65" s="37"/>
      <c r="OBF65" s="37"/>
      <c r="OBG65" s="37"/>
      <c r="OBH65" s="37"/>
      <c r="OBI65" s="37"/>
      <c r="OBJ65" s="37"/>
      <c r="OBK65" s="37"/>
      <c r="OBL65" s="37"/>
      <c r="OBM65" s="37"/>
      <c r="OBN65" s="37"/>
      <c r="OBO65" s="37"/>
      <c r="OBP65" s="37"/>
      <c r="OBQ65" s="37"/>
      <c r="OBR65" s="37"/>
      <c r="OBS65" s="37"/>
      <c r="OBT65" s="37"/>
      <c r="OBU65" s="37"/>
      <c r="OBV65" s="37"/>
      <c r="OBW65" s="37"/>
      <c r="OBX65" s="37"/>
      <c r="OBY65" s="37"/>
      <c r="OBZ65" s="37"/>
      <c r="OCA65" s="37"/>
      <c r="OCB65" s="37"/>
      <c r="OCC65" s="37"/>
      <c r="OCD65" s="37"/>
      <c r="OCE65" s="37"/>
      <c r="OCF65" s="37"/>
      <c r="OCG65" s="37"/>
      <c r="OCH65" s="37"/>
      <c r="OCI65" s="37"/>
      <c r="OCJ65" s="37"/>
      <c r="OCK65" s="37"/>
      <c r="OCL65" s="37"/>
      <c r="OCM65" s="37"/>
      <c r="OCN65" s="37"/>
      <c r="OCO65" s="37"/>
      <c r="OCP65" s="37"/>
      <c r="OCQ65" s="37"/>
      <c r="OCR65" s="37"/>
      <c r="OCS65" s="37"/>
      <c r="OCT65" s="37"/>
      <c r="OCU65" s="37"/>
      <c r="OCV65" s="37"/>
      <c r="OCW65" s="37"/>
      <c r="OCX65" s="37"/>
      <c r="OCY65" s="37"/>
      <c r="OCZ65" s="37"/>
      <c r="ODA65" s="37"/>
      <c r="ODB65" s="37"/>
      <c r="ODC65" s="37"/>
      <c r="ODD65" s="37"/>
      <c r="ODE65" s="37"/>
      <c r="ODF65" s="37"/>
      <c r="ODG65" s="37"/>
      <c r="ODH65" s="37"/>
      <c r="ODI65" s="37"/>
      <c r="ODJ65" s="37"/>
      <c r="ODK65" s="37"/>
      <c r="ODL65" s="37"/>
      <c r="ODM65" s="37"/>
      <c r="ODN65" s="37"/>
      <c r="ODO65" s="37"/>
      <c r="ODP65" s="37"/>
      <c r="ODQ65" s="37"/>
      <c r="ODR65" s="37"/>
      <c r="ODS65" s="37"/>
      <c r="ODT65" s="37"/>
      <c r="ODU65" s="37"/>
      <c r="ODV65" s="37"/>
      <c r="ODW65" s="37"/>
      <c r="ODX65" s="37"/>
      <c r="ODY65" s="37"/>
      <c r="ODZ65" s="37"/>
      <c r="OEA65" s="37"/>
      <c r="OEB65" s="37"/>
      <c r="OEC65" s="37"/>
      <c r="OED65" s="37"/>
      <c r="OEE65" s="37"/>
      <c r="OEF65" s="37"/>
      <c r="OEG65" s="37"/>
      <c r="OEH65" s="37"/>
      <c r="OEI65" s="37"/>
      <c r="OEJ65" s="37"/>
      <c r="OEK65" s="37"/>
      <c r="OEL65" s="37"/>
      <c r="OEM65" s="37"/>
      <c r="OEN65" s="37"/>
      <c r="OEO65" s="37"/>
      <c r="OEP65" s="37"/>
      <c r="OEQ65" s="37"/>
      <c r="OER65" s="37"/>
      <c r="OES65" s="37"/>
      <c r="OET65" s="37"/>
      <c r="OEU65" s="37"/>
      <c r="OEV65" s="37"/>
      <c r="OEW65" s="37"/>
      <c r="OEX65" s="37"/>
      <c r="OEY65" s="37"/>
      <c r="OEZ65" s="37"/>
      <c r="OFA65" s="37"/>
      <c r="OFB65" s="37"/>
      <c r="OFC65" s="37"/>
      <c r="OFD65" s="37"/>
      <c r="OFE65" s="37"/>
      <c r="OFF65" s="37"/>
      <c r="OFG65" s="37"/>
      <c r="OFH65" s="37"/>
      <c r="OFI65" s="37"/>
      <c r="OFJ65" s="37"/>
      <c r="OFK65" s="37"/>
      <c r="OFL65" s="37"/>
      <c r="OFM65" s="37"/>
      <c r="OFN65" s="37"/>
      <c r="OFO65" s="37"/>
      <c r="OFP65" s="37"/>
      <c r="OFQ65" s="37"/>
      <c r="OFR65" s="37"/>
      <c r="OFS65" s="37"/>
      <c r="OFT65" s="37"/>
      <c r="OFU65" s="37"/>
      <c r="OFV65" s="37"/>
      <c r="OFW65" s="37"/>
      <c r="OFX65" s="37"/>
      <c r="OFY65" s="37"/>
      <c r="OFZ65" s="37"/>
      <c r="OGA65" s="37"/>
      <c r="OGB65" s="37"/>
      <c r="OGC65" s="37"/>
      <c r="OGD65" s="37"/>
      <c r="OGE65" s="37"/>
      <c r="OGF65" s="37"/>
      <c r="OGG65" s="37"/>
      <c r="OGH65" s="37"/>
      <c r="OGI65" s="37"/>
      <c r="OGJ65" s="37"/>
      <c r="OGK65" s="37"/>
      <c r="OGL65" s="37"/>
      <c r="OGM65" s="37"/>
      <c r="OGN65" s="37"/>
      <c r="OGO65" s="37"/>
      <c r="OGP65" s="37"/>
      <c r="OGQ65" s="37"/>
      <c r="OGR65" s="37"/>
      <c r="OGS65" s="37"/>
      <c r="OGT65" s="37"/>
      <c r="OGU65" s="37"/>
      <c r="OGV65" s="37"/>
      <c r="OGW65" s="37"/>
      <c r="OGX65" s="37"/>
      <c r="OGY65" s="37"/>
      <c r="OGZ65" s="37"/>
      <c r="OHA65" s="37"/>
      <c r="OHB65" s="37"/>
      <c r="OHC65" s="37"/>
      <c r="OHD65" s="37"/>
      <c r="OHE65" s="37"/>
      <c r="OHF65" s="37"/>
      <c r="OHG65" s="37"/>
      <c r="OHH65" s="37"/>
      <c r="OHI65" s="37"/>
      <c r="OHJ65" s="37"/>
      <c r="OHK65" s="37"/>
      <c r="OHL65" s="37"/>
      <c r="OHM65" s="37"/>
      <c r="OHN65" s="37"/>
      <c r="OHO65" s="37"/>
      <c r="OHP65" s="37"/>
      <c r="OHQ65" s="37"/>
      <c r="OHR65" s="37"/>
      <c r="OHS65" s="37"/>
      <c r="OHT65" s="37"/>
      <c r="OHU65" s="37"/>
      <c r="OHV65" s="37"/>
      <c r="OHW65" s="37"/>
      <c r="OHX65" s="37"/>
      <c r="OHY65" s="37"/>
      <c r="OHZ65" s="37"/>
      <c r="OIA65" s="37"/>
      <c r="OIB65" s="37"/>
      <c r="OIC65" s="37"/>
      <c r="OID65" s="37"/>
      <c r="OIE65" s="37"/>
      <c r="OIF65" s="37"/>
      <c r="OIG65" s="37"/>
      <c r="OIH65" s="37"/>
      <c r="OII65" s="37"/>
      <c r="OIJ65" s="37"/>
      <c r="OIK65" s="37"/>
      <c r="OIL65" s="37"/>
      <c r="OIM65" s="37"/>
      <c r="OIN65" s="37"/>
      <c r="OIO65" s="37"/>
      <c r="OIP65" s="37"/>
      <c r="OIQ65" s="37"/>
      <c r="OIR65" s="37"/>
      <c r="OIS65" s="37"/>
      <c r="OIT65" s="37"/>
      <c r="OIU65" s="37"/>
      <c r="OIV65" s="37"/>
      <c r="OIW65" s="37"/>
      <c r="OIX65" s="37"/>
      <c r="OIY65" s="37"/>
      <c r="OIZ65" s="37"/>
      <c r="OJA65" s="37"/>
      <c r="OJB65" s="37"/>
      <c r="OJC65" s="37"/>
      <c r="OJD65" s="37"/>
      <c r="OJE65" s="37"/>
      <c r="OJF65" s="37"/>
      <c r="OJG65" s="37"/>
      <c r="OJH65" s="37"/>
      <c r="OJI65" s="37"/>
      <c r="OJJ65" s="37"/>
      <c r="OJK65" s="37"/>
      <c r="OJL65" s="37"/>
      <c r="OJM65" s="37"/>
      <c r="OJN65" s="37"/>
      <c r="OJO65" s="37"/>
      <c r="OJP65" s="37"/>
      <c r="OJQ65" s="37"/>
      <c r="OJR65" s="37"/>
      <c r="OJS65" s="37"/>
      <c r="OJT65" s="37"/>
      <c r="OJU65" s="37"/>
      <c r="OJV65" s="37"/>
      <c r="OJW65" s="37"/>
      <c r="OJX65" s="37"/>
      <c r="OJY65" s="37"/>
      <c r="OJZ65" s="37"/>
      <c r="OKA65" s="37"/>
      <c r="OKB65" s="37"/>
      <c r="OKC65" s="37"/>
      <c r="OKD65" s="37"/>
      <c r="OKE65" s="37"/>
      <c r="OKF65" s="37"/>
      <c r="OKG65" s="37"/>
      <c r="OKH65" s="37"/>
      <c r="OKI65" s="37"/>
      <c r="OKJ65" s="37"/>
      <c r="OKK65" s="37"/>
      <c r="OKL65" s="37"/>
      <c r="OKM65" s="37"/>
      <c r="OKN65" s="37"/>
      <c r="OKO65" s="37"/>
      <c r="OKP65" s="37"/>
      <c r="OKQ65" s="37"/>
      <c r="OKR65" s="37"/>
      <c r="OKS65" s="37"/>
      <c r="OKT65" s="37"/>
      <c r="OKU65" s="37"/>
      <c r="OKV65" s="37"/>
      <c r="OKW65" s="37"/>
      <c r="OKX65" s="37"/>
      <c r="OKY65" s="37"/>
      <c r="OKZ65" s="37"/>
      <c r="OLA65" s="37"/>
      <c r="OLB65" s="37"/>
      <c r="OLC65" s="37"/>
      <c r="OLD65" s="37"/>
      <c r="OLE65" s="37"/>
      <c r="OLF65" s="37"/>
      <c r="OLG65" s="37"/>
      <c r="OLH65" s="37"/>
      <c r="OLI65" s="37"/>
      <c r="OLJ65" s="37"/>
      <c r="OLK65" s="37"/>
      <c r="OLL65" s="37"/>
      <c r="OLM65" s="37"/>
      <c r="OLN65" s="37"/>
      <c r="OLO65" s="37"/>
      <c r="OLP65" s="37"/>
      <c r="OLQ65" s="37"/>
      <c r="OLR65" s="37"/>
      <c r="OLS65" s="37"/>
      <c r="OLT65" s="37"/>
      <c r="OLU65" s="37"/>
      <c r="OLV65" s="37"/>
      <c r="OLW65" s="37"/>
      <c r="OLX65" s="37"/>
      <c r="OLY65" s="37"/>
      <c r="OLZ65" s="37"/>
      <c r="OMA65" s="37"/>
      <c r="OMB65" s="37"/>
      <c r="OMC65" s="37"/>
      <c r="OMD65" s="37"/>
      <c r="OME65" s="37"/>
      <c r="OMF65" s="37"/>
      <c r="OMG65" s="37"/>
      <c r="OMH65" s="37"/>
      <c r="OMI65" s="37"/>
      <c r="OMJ65" s="37"/>
      <c r="OMK65" s="37"/>
      <c r="OML65" s="37"/>
      <c r="OMM65" s="37"/>
      <c r="OMN65" s="37"/>
      <c r="OMO65" s="37"/>
      <c r="OMP65" s="37"/>
      <c r="OMQ65" s="37"/>
      <c r="OMR65" s="37"/>
      <c r="OMS65" s="37"/>
      <c r="OMT65" s="37"/>
      <c r="OMU65" s="37"/>
      <c r="OMV65" s="37"/>
      <c r="OMW65" s="37"/>
      <c r="OMX65" s="37"/>
      <c r="OMY65" s="37"/>
      <c r="OMZ65" s="37"/>
      <c r="ONA65" s="37"/>
      <c r="ONB65" s="37"/>
      <c r="ONC65" s="37"/>
      <c r="OND65" s="37"/>
      <c r="ONE65" s="37"/>
      <c r="ONF65" s="37"/>
      <c r="ONG65" s="37"/>
      <c r="ONH65" s="37"/>
      <c r="ONI65" s="37"/>
      <c r="ONJ65" s="37"/>
      <c r="ONK65" s="37"/>
      <c r="ONL65" s="37"/>
      <c r="ONM65" s="37"/>
      <c r="ONN65" s="37"/>
      <c r="ONO65" s="37"/>
      <c r="ONP65" s="37"/>
      <c r="ONQ65" s="37"/>
      <c r="ONR65" s="37"/>
      <c r="ONS65" s="37"/>
      <c r="ONT65" s="37"/>
      <c r="ONU65" s="37"/>
      <c r="ONV65" s="37"/>
      <c r="ONW65" s="37"/>
      <c r="ONX65" s="37"/>
      <c r="ONY65" s="37"/>
      <c r="ONZ65" s="37"/>
      <c r="OOA65" s="37"/>
      <c r="OOB65" s="37"/>
      <c r="OOC65" s="37"/>
      <c r="OOD65" s="37"/>
      <c r="OOE65" s="37"/>
      <c r="OOF65" s="37"/>
      <c r="OOG65" s="37"/>
      <c r="OOH65" s="37"/>
      <c r="OOI65" s="37"/>
      <c r="OOJ65" s="37"/>
      <c r="OOK65" s="37"/>
      <c r="OOL65" s="37"/>
      <c r="OOM65" s="37"/>
      <c r="OON65" s="37"/>
      <c r="OOO65" s="37"/>
      <c r="OOP65" s="37"/>
      <c r="OOQ65" s="37"/>
      <c r="OOR65" s="37"/>
      <c r="OOS65" s="37"/>
      <c r="OOT65" s="37"/>
      <c r="OOU65" s="37"/>
      <c r="OOV65" s="37"/>
      <c r="OOW65" s="37"/>
      <c r="OOX65" s="37"/>
      <c r="OOY65" s="37"/>
      <c r="OOZ65" s="37"/>
      <c r="OPA65" s="37"/>
      <c r="OPB65" s="37"/>
      <c r="OPC65" s="37"/>
      <c r="OPD65" s="37"/>
      <c r="OPE65" s="37"/>
      <c r="OPF65" s="37"/>
      <c r="OPG65" s="37"/>
      <c r="OPH65" s="37"/>
      <c r="OPI65" s="37"/>
      <c r="OPJ65" s="37"/>
      <c r="OPK65" s="37"/>
      <c r="OPL65" s="37"/>
      <c r="OPM65" s="37"/>
      <c r="OPN65" s="37"/>
      <c r="OPO65" s="37"/>
      <c r="OPP65" s="37"/>
      <c r="OPQ65" s="37"/>
      <c r="OPR65" s="37"/>
      <c r="OPS65" s="37"/>
      <c r="OPT65" s="37"/>
      <c r="OPU65" s="37"/>
      <c r="OPV65" s="37"/>
      <c r="OPW65" s="37"/>
      <c r="OPX65" s="37"/>
      <c r="OPY65" s="37"/>
      <c r="OPZ65" s="37"/>
      <c r="OQA65" s="37"/>
      <c r="OQB65" s="37"/>
      <c r="OQC65" s="37"/>
      <c r="OQD65" s="37"/>
      <c r="OQE65" s="37"/>
      <c r="OQF65" s="37"/>
      <c r="OQG65" s="37"/>
      <c r="OQH65" s="37"/>
      <c r="OQI65" s="37"/>
      <c r="OQJ65" s="37"/>
      <c r="OQK65" s="37"/>
      <c r="OQL65" s="37"/>
      <c r="OQM65" s="37"/>
      <c r="OQN65" s="37"/>
      <c r="OQO65" s="37"/>
      <c r="OQP65" s="37"/>
      <c r="OQQ65" s="37"/>
      <c r="OQR65" s="37"/>
      <c r="OQS65" s="37"/>
      <c r="OQT65" s="37"/>
      <c r="OQU65" s="37"/>
      <c r="OQV65" s="37"/>
      <c r="OQW65" s="37"/>
      <c r="OQX65" s="37"/>
      <c r="OQY65" s="37"/>
      <c r="OQZ65" s="37"/>
      <c r="ORA65" s="37"/>
      <c r="ORB65" s="37"/>
      <c r="ORC65" s="37"/>
      <c r="ORD65" s="37"/>
      <c r="ORE65" s="37"/>
      <c r="ORF65" s="37"/>
      <c r="ORG65" s="37"/>
      <c r="ORH65" s="37"/>
      <c r="ORI65" s="37"/>
      <c r="ORJ65" s="37"/>
      <c r="ORK65" s="37"/>
      <c r="ORL65" s="37"/>
      <c r="ORM65" s="37"/>
      <c r="ORN65" s="37"/>
      <c r="ORO65" s="37"/>
      <c r="ORP65" s="37"/>
      <c r="ORQ65" s="37"/>
      <c r="ORR65" s="37"/>
      <c r="ORS65" s="37"/>
      <c r="ORT65" s="37"/>
      <c r="ORU65" s="37"/>
      <c r="ORV65" s="37"/>
      <c r="ORW65" s="37"/>
      <c r="ORX65" s="37"/>
      <c r="ORY65" s="37"/>
      <c r="ORZ65" s="37"/>
      <c r="OSA65" s="37"/>
      <c r="OSB65" s="37"/>
      <c r="OSC65" s="37"/>
      <c r="OSD65" s="37"/>
      <c r="OSE65" s="37"/>
      <c r="OSF65" s="37"/>
      <c r="OSG65" s="37"/>
      <c r="OSH65" s="37"/>
      <c r="OSI65" s="37"/>
      <c r="OSJ65" s="37"/>
      <c r="OSK65" s="37"/>
      <c r="OSL65" s="37"/>
      <c r="OSM65" s="37"/>
      <c r="OSN65" s="37"/>
      <c r="OSO65" s="37"/>
      <c r="OSP65" s="37"/>
      <c r="OSQ65" s="37"/>
      <c r="OSR65" s="37"/>
      <c r="OSS65" s="37"/>
      <c r="OST65" s="37"/>
      <c r="OSU65" s="37"/>
      <c r="OSV65" s="37"/>
      <c r="OSW65" s="37"/>
      <c r="OSX65" s="37"/>
      <c r="OSY65" s="37"/>
      <c r="OSZ65" s="37"/>
      <c r="OTA65" s="37"/>
      <c r="OTB65" s="37"/>
      <c r="OTC65" s="37"/>
      <c r="OTD65" s="37"/>
      <c r="OTE65" s="37"/>
      <c r="OTF65" s="37"/>
      <c r="OTG65" s="37"/>
      <c r="OTH65" s="37"/>
      <c r="OTI65" s="37"/>
      <c r="OTJ65" s="37"/>
      <c r="OTK65" s="37"/>
      <c r="OTL65" s="37"/>
      <c r="OTM65" s="37"/>
      <c r="OTN65" s="37"/>
      <c r="OTO65" s="37"/>
      <c r="OTP65" s="37"/>
      <c r="OTQ65" s="37"/>
      <c r="OTR65" s="37"/>
      <c r="OTS65" s="37"/>
      <c r="OTT65" s="37"/>
      <c r="OTU65" s="37"/>
      <c r="OTV65" s="37"/>
      <c r="OTW65" s="37"/>
      <c r="OTX65" s="37"/>
      <c r="OTY65" s="37"/>
      <c r="OTZ65" s="37"/>
      <c r="OUA65" s="37"/>
      <c r="OUB65" s="37"/>
      <c r="OUC65" s="37"/>
      <c r="OUD65" s="37"/>
      <c r="OUE65" s="37"/>
      <c r="OUF65" s="37"/>
      <c r="OUG65" s="37"/>
      <c r="OUH65" s="37"/>
      <c r="OUI65" s="37"/>
      <c r="OUJ65" s="37"/>
      <c r="OUK65" s="37"/>
      <c r="OUL65" s="37"/>
      <c r="OUM65" s="37"/>
      <c r="OUN65" s="37"/>
      <c r="OUO65" s="37"/>
      <c r="OUP65" s="37"/>
      <c r="OUQ65" s="37"/>
      <c r="OUR65" s="37"/>
      <c r="OUS65" s="37"/>
      <c r="OUT65" s="37"/>
      <c r="OUU65" s="37"/>
      <c r="OUV65" s="37"/>
      <c r="OUW65" s="37"/>
      <c r="OUX65" s="37"/>
      <c r="OUY65" s="37"/>
      <c r="OUZ65" s="37"/>
      <c r="OVA65" s="37"/>
      <c r="OVB65" s="37"/>
      <c r="OVC65" s="37"/>
      <c r="OVD65" s="37"/>
      <c r="OVE65" s="37"/>
      <c r="OVF65" s="37"/>
      <c r="OVG65" s="37"/>
      <c r="OVH65" s="37"/>
      <c r="OVI65" s="37"/>
      <c r="OVJ65" s="37"/>
      <c r="OVK65" s="37"/>
      <c r="OVL65" s="37"/>
      <c r="OVM65" s="37"/>
      <c r="OVN65" s="37"/>
      <c r="OVO65" s="37"/>
      <c r="OVP65" s="37"/>
      <c r="OVQ65" s="37"/>
      <c r="OVR65" s="37"/>
      <c r="OVS65" s="37"/>
      <c r="OVT65" s="37"/>
      <c r="OVU65" s="37"/>
      <c r="OVV65" s="37"/>
      <c r="OVW65" s="37"/>
      <c r="OVX65" s="37"/>
      <c r="OVY65" s="37"/>
      <c r="OVZ65" s="37"/>
      <c r="OWA65" s="37"/>
      <c r="OWB65" s="37"/>
      <c r="OWC65" s="37"/>
      <c r="OWD65" s="37"/>
      <c r="OWE65" s="37"/>
      <c r="OWF65" s="37"/>
      <c r="OWG65" s="37"/>
      <c r="OWH65" s="37"/>
      <c r="OWI65" s="37"/>
      <c r="OWJ65" s="37"/>
      <c r="OWK65" s="37"/>
      <c r="OWL65" s="37"/>
      <c r="OWM65" s="37"/>
      <c r="OWN65" s="37"/>
      <c r="OWO65" s="37"/>
      <c r="OWP65" s="37"/>
      <c r="OWQ65" s="37"/>
      <c r="OWR65" s="37"/>
      <c r="OWS65" s="37"/>
      <c r="OWT65" s="37"/>
      <c r="OWU65" s="37"/>
      <c r="OWV65" s="37"/>
      <c r="OWW65" s="37"/>
      <c r="OWX65" s="37"/>
      <c r="OWY65" s="37"/>
      <c r="OWZ65" s="37"/>
      <c r="OXA65" s="37"/>
      <c r="OXB65" s="37"/>
      <c r="OXC65" s="37"/>
      <c r="OXD65" s="37"/>
      <c r="OXE65" s="37"/>
      <c r="OXF65" s="37"/>
      <c r="OXG65" s="37"/>
      <c r="OXH65" s="37"/>
      <c r="OXI65" s="37"/>
      <c r="OXJ65" s="37"/>
      <c r="OXK65" s="37"/>
      <c r="OXL65" s="37"/>
      <c r="OXM65" s="37"/>
      <c r="OXN65" s="37"/>
      <c r="OXO65" s="37"/>
      <c r="OXP65" s="37"/>
      <c r="OXQ65" s="37"/>
      <c r="OXR65" s="37"/>
      <c r="OXS65" s="37"/>
      <c r="OXT65" s="37"/>
      <c r="OXU65" s="37"/>
      <c r="OXV65" s="37"/>
      <c r="OXW65" s="37"/>
      <c r="OXX65" s="37"/>
      <c r="OXY65" s="37"/>
      <c r="OXZ65" s="37"/>
      <c r="OYA65" s="37"/>
      <c r="OYB65" s="37"/>
      <c r="OYC65" s="37"/>
      <c r="OYD65" s="37"/>
      <c r="OYE65" s="37"/>
      <c r="OYF65" s="37"/>
      <c r="OYG65" s="37"/>
      <c r="OYH65" s="37"/>
      <c r="OYI65" s="37"/>
      <c r="OYJ65" s="37"/>
      <c r="OYK65" s="37"/>
      <c r="OYL65" s="37"/>
      <c r="OYM65" s="37"/>
      <c r="OYN65" s="37"/>
      <c r="OYO65" s="37"/>
      <c r="OYP65" s="37"/>
      <c r="OYQ65" s="37"/>
      <c r="OYR65" s="37"/>
      <c r="OYS65" s="37"/>
      <c r="OYT65" s="37"/>
      <c r="OYU65" s="37"/>
      <c r="OYV65" s="37"/>
      <c r="OYW65" s="37"/>
      <c r="OYX65" s="37"/>
      <c r="OYY65" s="37"/>
      <c r="OYZ65" s="37"/>
      <c r="OZA65" s="37"/>
      <c r="OZB65" s="37"/>
      <c r="OZC65" s="37"/>
      <c r="OZD65" s="37"/>
      <c r="OZE65" s="37"/>
      <c r="OZF65" s="37"/>
      <c r="OZG65" s="37"/>
      <c r="OZH65" s="37"/>
      <c r="OZI65" s="37"/>
      <c r="OZJ65" s="37"/>
      <c r="OZK65" s="37"/>
      <c r="OZL65" s="37"/>
      <c r="OZM65" s="37"/>
      <c r="OZN65" s="37"/>
      <c r="OZO65" s="37"/>
      <c r="OZP65" s="37"/>
      <c r="OZQ65" s="37"/>
      <c r="OZR65" s="37"/>
      <c r="OZS65" s="37"/>
      <c r="OZT65" s="37"/>
      <c r="OZU65" s="37"/>
      <c r="OZV65" s="37"/>
      <c r="OZW65" s="37"/>
      <c r="OZX65" s="37"/>
      <c r="OZY65" s="37"/>
      <c r="OZZ65" s="37"/>
      <c r="PAA65" s="37"/>
      <c r="PAB65" s="37"/>
      <c r="PAC65" s="37"/>
      <c r="PAD65" s="37"/>
      <c r="PAE65" s="37"/>
      <c r="PAF65" s="37"/>
      <c r="PAG65" s="37"/>
      <c r="PAH65" s="37"/>
      <c r="PAI65" s="37"/>
      <c r="PAJ65" s="37"/>
      <c r="PAK65" s="37"/>
      <c r="PAL65" s="37"/>
      <c r="PAM65" s="37"/>
      <c r="PAN65" s="37"/>
      <c r="PAO65" s="37"/>
      <c r="PAP65" s="37"/>
      <c r="PAQ65" s="37"/>
      <c r="PAR65" s="37"/>
      <c r="PAS65" s="37"/>
      <c r="PAT65" s="37"/>
      <c r="PAU65" s="37"/>
      <c r="PAV65" s="37"/>
      <c r="PAW65" s="37"/>
      <c r="PAX65" s="37"/>
      <c r="PAY65" s="37"/>
      <c r="PAZ65" s="37"/>
      <c r="PBA65" s="37"/>
      <c r="PBB65" s="37"/>
      <c r="PBC65" s="37"/>
      <c r="PBD65" s="37"/>
      <c r="PBE65" s="37"/>
      <c r="PBF65" s="37"/>
      <c r="PBG65" s="37"/>
      <c r="PBH65" s="37"/>
      <c r="PBI65" s="37"/>
      <c r="PBJ65" s="37"/>
      <c r="PBK65" s="37"/>
      <c r="PBL65" s="37"/>
      <c r="PBM65" s="37"/>
      <c r="PBN65" s="37"/>
      <c r="PBO65" s="37"/>
      <c r="PBP65" s="37"/>
      <c r="PBQ65" s="37"/>
      <c r="PBR65" s="37"/>
      <c r="PBS65" s="37"/>
      <c r="PBT65" s="37"/>
      <c r="PBU65" s="37"/>
      <c r="PBV65" s="37"/>
      <c r="PBW65" s="37"/>
      <c r="PBX65" s="37"/>
      <c r="PBY65" s="37"/>
      <c r="PBZ65" s="37"/>
      <c r="PCA65" s="37"/>
      <c r="PCB65" s="37"/>
      <c r="PCC65" s="37"/>
      <c r="PCD65" s="37"/>
      <c r="PCE65" s="37"/>
      <c r="PCF65" s="37"/>
      <c r="PCG65" s="37"/>
      <c r="PCH65" s="37"/>
      <c r="PCI65" s="37"/>
      <c r="PCJ65" s="37"/>
      <c r="PCK65" s="37"/>
      <c r="PCL65" s="37"/>
      <c r="PCM65" s="37"/>
      <c r="PCN65" s="37"/>
      <c r="PCO65" s="37"/>
      <c r="PCP65" s="37"/>
      <c r="PCQ65" s="37"/>
      <c r="PCR65" s="37"/>
      <c r="PCS65" s="37"/>
      <c r="PCT65" s="37"/>
      <c r="PCU65" s="37"/>
      <c r="PCV65" s="37"/>
      <c r="PCW65" s="37"/>
      <c r="PCX65" s="37"/>
      <c r="PCY65" s="37"/>
      <c r="PCZ65" s="37"/>
      <c r="PDA65" s="37"/>
      <c r="PDB65" s="37"/>
      <c r="PDC65" s="37"/>
      <c r="PDD65" s="37"/>
      <c r="PDE65" s="37"/>
      <c r="PDF65" s="37"/>
      <c r="PDG65" s="37"/>
      <c r="PDH65" s="37"/>
      <c r="PDI65" s="37"/>
      <c r="PDJ65" s="37"/>
      <c r="PDK65" s="37"/>
      <c r="PDL65" s="37"/>
      <c r="PDM65" s="37"/>
      <c r="PDN65" s="37"/>
      <c r="PDO65" s="37"/>
      <c r="PDP65" s="37"/>
      <c r="PDQ65" s="37"/>
      <c r="PDR65" s="37"/>
      <c r="PDS65" s="37"/>
      <c r="PDT65" s="37"/>
      <c r="PDU65" s="37"/>
      <c r="PDV65" s="37"/>
      <c r="PDW65" s="37"/>
      <c r="PDX65" s="37"/>
      <c r="PDY65" s="37"/>
      <c r="PDZ65" s="37"/>
      <c r="PEA65" s="37"/>
      <c r="PEB65" s="37"/>
      <c r="PEC65" s="37"/>
      <c r="PED65" s="37"/>
      <c r="PEE65" s="37"/>
      <c r="PEF65" s="37"/>
      <c r="PEG65" s="37"/>
      <c r="PEH65" s="37"/>
      <c r="PEI65" s="37"/>
      <c r="PEJ65" s="37"/>
      <c r="PEK65" s="37"/>
      <c r="PEL65" s="37"/>
      <c r="PEM65" s="37"/>
      <c r="PEN65" s="37"/>
      <c r="PEO65" s="37"/>
      <c r="PEP65" s="37"/>
      <c r="PEQ65" s="37"/>
      <c r="PER65" s="37"/>
      <c r="PES65" s="37"/>
      <c r="PET65" s="37"/>
      <c r="PEU65" s="37"/>
      <c r="PEV65" s="37"/>
      <c r="PEW65" s="37"/>
      <c r="PEX65" s="37"/>
      <c r="PEY65" s="37"/>
      <c r="PEZ65" s="37"/>
      <c r="PFA65" s="37"/>
      <c r="PFB65" s="37"/>
      <c r="PFC65" s="37"/>
      <c r="PFD65" s="37"/>
      <c r="PFE65" s="37"/>
      <c r="PFF65" s="37"/>
      <c r="PFG65" s="37"/>
      <c r="PFH65" s="37"/>
      <c r="PFI65" s="37"/>
      <c r="PFJ65" s="37"/>
      <c r="PFK65" s="37"/>
      <c r="PFL65" s="37"/>
      <c r="PFM65" s="37"/>
      <c r="PFN65" s="37"/>
      <c r="PFO65" s="37"/>
      <c r="PFP65" s="37"/>
      <c r="PFQ65" s="37"/>
      <c r="PFR65" s="37"/>
      <c r="PFS65" s="37"/>
      <c r="PFT65" s="37"/>
      <c r="PFU65" s="37"/>
      <c r="PFV65" s="37"/>
      <c r="PFW65" s="37"/>
      <c r="PFX65" s="37"/>
      <c r="PFY65" s="37"/>
      <c r="PFZ65" s="37"/>
      <c r="PGA65" s="37"/>
      <c r="PGB65" s="37"/>
      <c r="PGC65" s="37"/>
      <c r="PGD65" s="37"/>
      <c r="PGE65" s="37"/>
      <c r="PGF65" s="37"/>
      <c r="PGG65" s="37"/>
      <c r="PGH65" s="37"/>
      <c r="PGI65" s="37"/>
      <c r="PGJ65" s="37"/>
      <c r="PGK65" s="37"/>
      <c r="PGL65" s="37"/>
      <c r="PGM65" s="37"/>
      <c r="PGN65" s="37"/>
      <c r="PGO65" s="37"/>
      <c r="PGP65" s="37"/>
      <c r="PGQ65" s="37"/>
      <c r="PGR65" s="37"/>
      <c r="PGS65" s="37"/>
      <c r="PGT65" s="37"/>
      <c r="PGU65" s="37"/>
      <c r="PGV65" s="37"/>
      <c r="PGW65" s="37"/>
      <c r="PGX65" s="37"/>
      <c r="PGY65" s="37"/>
      <c r="PGZ65" s="37"/>
      <c r="PHA65" s="37"/>
      <c r="PHB65" s="37"/>
      <c r="PHC65" s="37"/>
      <c r="PHD65" s="37"/>
      <c r="PHE65" s="37"/>
      <c r="PHF65" s="37"/>
      <c r="PHG65" s="37"/>
      <c r="PHH65" s="37"/>
      <c r="PHI65" s="37"/>
      <c r="PHJ65" s="37"/>
      <c r="PHK65" s="37"/>
      <c r="PHL65" s="37"/>
      <c r="PHM65" s="37"/>
      <c r="PHN65" s="37"/>
      <c r="PHO65" s="37"/>
      <c r="PHP65" s="37"/>
      <c r="PHQ65" s="37"/>
      <c r="PHR65" s="37"/>
      <c r="PHS65" s="37"/>
      <c r="PHT65" s="37"/>
      <c r="PHU65" s="37"/>
      <c r="PHV65" s="37"/>
      <c r="PHW65" s="37"/>
      <c r="PHX65" s="37"/>
      <c r="PHY65" s="37"/>
      <c r="PHZ65" s="37"/>
      <c r="PIA65" s="37"/>
      <c r="PIB65" s="37"/>
      <c r="PIC65" s="37"/>
      <c r="PID65" s="37"/>
      <c r="PIE65" s="37"/>
      <c r="PIF65" s="37"/>
      <c r="PIG65" s="37"/>
      <c r="PIH65" s="37"/>
      <c r="PII65" s="37"/>
      <c r="PIJ65" s="37"/>
      <c r="PIK65" s="37"/>
      <c r="PIL65" s="37"/>
      <c r="PIM65" s="37"/>
      <c r="PIN65" s="37"/>
      <c r="PIO65" s="37"/>
      <c r="PIP65" s="37"/>
      <c r="PIQ65" s="37"/>
      <c r="PIR65" s="37"/>
      <c r="PIS65" s="37"/>
      <c r="PIT65" s="37"/>
      <c r="PIU65" s="37"/>
      <c r="PIV65" s="37"/>
      <c r="PIW65" s="37"/>
      <c r="PIX65" s="37"/>
      <c r="PIY65" s="37"/>
      <c r="PIZ65" s="37"/>
      <c r="PJA65" s="37"/>
      <c r="PJB65" s="37"/>
      <c r="PJC65" s="37"/>
      <c r="PJD65" s="37"/>
      <c r="PJE65" s="37"/>
      <c r="PJF65" s="37"/>
      <c r="PJG65" s="37"/>
      <c r="PJH65" s="37"/>
      <c r="PJI65" s="37"/>
      <c r="PJJ65" s="37"/>
      <c r="PJK65" s="37"/>
      <c r="PJL65" s="37"/>
      <c r="PJM65" s="37"/>
      <c r="PJN65" s="37"/>
      <c r="PJO65" s="37"/>
      <c r="PJP65" s="37"/>
      <c r="PJQ65" s="37"/>
      <c r="PJR65" s="37"/>
      <c r="PJS65" s="37"/>
      <c r="PJT65" s="37"/>
      <c r="PJU65" s="37"/>
      <c r="PJV65" s="37"/>
      <c r="PJW65" s="37"/>
      <c r="PJX65" s="37"/>
      <c r="PJY65" s="37"/>
      <c r="PJZ65" s="37"/>
      <c r="PKA65" s="37"/>
      <c r="PKB65" s="37"/>
      <c r="PKC65" s="37"/>
      <c r="PKD65" s="37"/>
      <c r="PKE65" s="37"/>
      <c r="PKF65" s="37"/>
      <c r="PKG65" s="37"/>
      <c r="PKH65" s="37"/>
      <c r="PKI65" s="37"/>
      <c r="PKJ65" s="37"/>
      <c r="PKK65" s="37"/>
      <c r="PKL65" s="37"/>
      <c r="PKM65" s="37"/>
      <c r="PKN65" s="37"/>
      <c r="PKO65" s="37"/>
      <c r="PKP65" s="37"/>
      <c r="PKQ65" s="37"/>
      <c r="PKR65" s="37"/>
      <c r="PKS65" s="37"/>
      <c r="PKT65" s="37"/>
      <c r="PKU65" s="37"/>
      <c r="PKV65" s="37"/>
      <c r="PKW65" s="37"/>
      <c r="PKX65" s="37"/>
      <c r="PKY65" s="37"/>
      <c r="PKZ65" s="37"/>
      <c r="PLA65" s="37"/>
      <c r="PLB65" s="37"/>
      <c r="PLC65" s="37"/>
      <c r="PLD65" s="37"/>
      <c r="PLE65" s="37"/>
      <c r="PLF65" s="37"/>
      <c r="PLG65" s="37"/>
      <c r="PLH65" s="37"/>
      <c r="PLI65" s="37"/>
      <c r="PLJ65" s="37"/>
      <c r="PLK65" s="37"/>
      <c r="PLL65" s="37"/>
      <c r="PLM65" s="37"/>
      <c r="PLN65" s="37"/>
      <c r="PLO65" s="37"/>
      <c r="PLP65" s="37"/>
      <c r="PLQ65" s="37"/>
      <c r="PLR65" s="37"/>
      <c r="PLS65" s="37"/>
      <c r="PLT65" s="37"/>
      <c r="PLU65" s="37"/>
      <c r="PLV65" s="37"/>
      <c r="PLW65" s="37"/>
      <c r="PLX65" s="37"/>
      <c r="PLY65" s="37"/>
      <c r="PLZ65" s="37"/>
      <c r="PMA65" s="37"/>
      <c r="PMB65" s="37"/>
      <c r="PMC65" s="37"/>
      <c r="PMD65" s="37"/>
      <c r="PME65" s="37"/>
      <c r="PMF65" s="37"/>
      <c r="PMG65" s="37"/>
      <c r="PMH65" s="37"/>
      <c r="PMI65" s="37"/>
      <c r="PMJ65" s="37"/>
      <c r="PMK65" s="37"/>
      <c r="PML65" s="37"/>
      <c r="PMM65" s="37"/>
      <c r="PMN65" s="37"/>
      <c r="PMO65" s="37"/>
      <c r="PMP65" s="37"/>
      <c r="PMQ65" s="37"/>
      <c r="PMR65" s="37"/>
      <c r="PMS65" s="37"/>
      <c r="PMT65" s="37"/>
      <c r="PMU65" s="37"/>
      <c r="PMV65" s="37"/>
      <c r="PMW65" s="37"/>
      <c r="PMX65" s="37"/>
      <c r="PMY65" s="37"/>
      <c r="PMZ65" s="37"/>
      <c r="PNA65" s="37"/>
      <c r="PNB65" s="37"/>
      <c r="PNC65" s="37"/>
      <c r="PND65" s="37"/>
      <c r="PNE65" s="37"/>
      <c r="PNF65" s="37"/>
      <c r="PNG65" s="37"/>
      <c r="PNH65" s="37"/>
      <c r="PNI65" s="37"/>
      <c r="PNJ65" s="37"/>
      <c r="PNK65" s="37"/>
      <c r="PNL65" s="37"/>
      <c r="PNM65" s="37"/>
      <c r="PNN65" s="37"/>
      <c r="PNO65" s="37"/>
      <c r="PNP65" s="37"/>
      <c r="PNQ65" s="37"/>
      <c r="PNR65" s="37"/>
      <c r="PNS65" s="37"/>
      <c r="PNT65" s="37"/>
      <c r="PNU65" s="37"/>
      <c r="PNV65" s="37"/>
      <c r="PNW65" s="37"/>
      <c r="PNX65" s="37"/>
      <c r="PNY65" s="37"/>
      <c r="PNZ65" s="37"/>
      <c r="POA65" s="37"/>
      <c r="POB65" s="37"/>
      <c r="POC65" s="37"/>
      <c r="POD65" s="37"/>
      <c r="POE65" s="37"/>
      <c r="POF65" s="37"/>
      <c r="POG65" s="37"/>
      <c r="POH65" s="37"/>
      <c r="POI65" s="37"/>
      <c r="POJ65" s="37"/>
      <c r="POK65" s="37"/>
      <c r="POL65" s="37"/>
      <c r="POM65" s="37"/>
      <c r="PON65" s="37"/>
      <c r="POO65" s="37"/>
      <c r="POP65" s="37"/>
      <c r="POQ65" s="37"/>
      <c r="POR65" s="37"/>
      <c r="POS65" s="37"/>
      <c r="POT65" s="37"/>
      <c r="POU65" s="37"/>
      <c r="POV65" s="37"/>
      <c r="POW65" s="37"/>
      <c r="POX65" s="37"/>
      <c r="POY65" s="37"/>
      <c r="POZ65" s="37"/>
      <c r="PPA65" s="37"/>
      <c r="PPB65" s="37"/>
      <c r="PPC65" s="37"/>
      <c r="PPD65" s="37"/>
      <c r="PPE65" s="37"/>
      <c r="PPF65" s="37"/>
      <c r="PPG65" s="37"/>
      <c r="PPH65" s="37"/>
      <c r="PPI65" s="37"/>
      <c r="PPJ65" s="37"/>
      <c r="PPK65" s="37"/>
      <c r="PPL65" s="37"/>
      <c r="PPM65" s="37"/>
      <c r="PPN65" s="37"/>
      <c r="PPO65" s="37"/>
      <c r="PPP65" s="37"/>
      <c r="PPQ65" s="37"/>
      <c r="PPR65" s="37"/>
      <c r="PPS65" s="37"/>
      <c r="PPT65" s="37"/>
      <c r="PPU65" s="37"/>
      <c r="PPV65" s="37"/>
      <c r="PPW65" s="37"/>
      <c r="PPX65" s="37"/>
      <c r="PPY65" s="37"/>
      <c r="PPZ65" s="37"/>
      <c r="PQA65" s="37"/>
      <c r="PQB65" s="37"/>
      <c r="PQC65" s="37"/>
      <c r="PQD65" s="37"/>
      <c r="PQE65" s="37"/>
      <c r="PQF65" s="37"/>
      <c r="PQG65" s="37"/>
      <c r="PQH65" s="37"/>
      <c r="PQI65" s="37"/>
      <c r="PQJ65" s="37"/>
      <c r="PQK65" s="37"/>
      <c r="PQL65" s="37"/>
      <c r="PQM65" s="37"/>
      <c r="PQN65" s="37"/>
      <c r="PQO65" s="37"/>
      <c r="PQP65" s="37"/>
      <c r="PQQ65" s="37"/>
      <c r="PQR65" s="37"/>
      <c r="PQS65" s="37"/>
      <c r="PQT65" s="37"/>
      <c r="PQU65" s="37"/>
      <c r="PQV65" s="37"/>
      <c r="PQW65" s="37"/>
      <c r="PQX65" s="37"/>
      <c r="PQY65" s="37"/>
      <c r="PQZ65" s="37"/>
      <c r="PRA65" s="37"/>
      <c r="PRB65" s="37"/>
      <c r="PRC65" s="37"/>
      <c r="PRD65" s="37"/>
      <c r="PRE65" s="37"/>
      <c r="PRF65" s="37"/>
      <c r="PRG65" s="37"/>
      <c r="PRH65" s="37"/>
      <c r="PRI65" s="37"/>
      <c r="PRJ65" s="37"/>
      <c r="PRK65" s="37"/>
      <c r="PRL65" s="37"/>
      <c r="PRM65" s="37"/>
      <c r="PRN65" s="37"/>
      <c r="PRO65" s="37"/>
      <c r="PRP65" s="37"/>
      <c r="PRQ65" s="37"/>
      <c r="PRR65" s="37"/>
      <c r="PRS65" s="37"/>
      <c r="PRT65" s="37"/>
      <c r="PRU65" s="37"/>
      <c r="PRV65" s="37"/>
      <c r="PRW65" s="37"/>
      <c r="PRX65" s="37"/>
      <c r="PRY65" s="37"/>
      <c r="PRZ65" s="37"/>
      <c r="PSA65" s="37"/>
      <c r="PSB65" s="37"/>
      <c r="PSC65" s="37"/>
      <c r="PSD65" s="37"/>
      <c r="PSE65" s="37"/>
      <c r="PSF65" s="37"/>
      <c r="PSG65" s="37"/>
      <c r="PSH65" s="37"/>
      <c r="PSI65" s="37"/>
      <c r="PSJ65" s="37"/>
      <c r="PSK65" s="37"/>
      <c r="PSL65" s="37"/>
      <c r="PSM65" s="37"/>
      <c r="PSN65" s="37"/>
      <c r="PSO65" s="37"/>
      <c r="PSP65" s="37"/>
      <c r="PSQ65" s="37"/>
      <c r="PSR65" s="37"/>
      <c r="PSS65" s="37"/>
      <c r="PST65" s="37"/>
      <c r="PSU65" s="37"/>
      <c r="PSV65" s="37"/>
      <c r="PSW65" s="37"/>
      <c r="PSX65" s="37"/>
      <c r="PSY65" s="37"/>
      <c r="PSZ65" s="37"/>
      <c r="PTA65" s="37"/>
      <c r="PTB65" s="37"/>
      <c r="PTC65" s="37"/>
      <c r="PTD65" s="37"/>
      <c r="PTE65" s="37"/>
      <c r="PTF65" s="37"/>
      <c r="PTG65" s="37"/>
      <c r="PTH65" s="37"/>
      <c r="PTI65" s="37"/>
      <c r="PTJ65" s="37"/>
      <c r="PTK65" s="37"/>
      <c r="PTL65" s="37"/>
      <c r="PTM65" s="37"/>
      <c r="PTN65" s="37"/>
      <c r="PTO65" s="37"/>
      <c r="PTP65" s="37"/>
      <c r="PTQ65" s="37"/>
      <c r="PTR65" s="37"/>
      <c r="PTS65" s="37"/>
      <c r="PTT65" s="37"/>
      <c r="PTU65" s="37"/>
      <c r="PTV65" s="37"/>
      <c r="PTW65" s="37"/>
      <c r="PTX65" s="37"/>
      <c r="PTY65" s="37"/>
      <c r="PTZ65" s="37"/>
      <c r="PUA65" s="37"/>
      <c r="PUB65" s="37"/>
      <c r="PUC65" s="37"/>
      <c r="PUD65" s="37"/>
      <c r="PUE65" s="37"/>
      <c r="PUF65" s="37"/>
      <c r="PUG65" s="37"/>
      <c r="PUH65" s="37"/>
      <c r="PUI65" s="37"/>
      <c r="PUJ65" s="37"/>
      <c r="PUK65" s="37"/>
      <c r="PUL65" s="37"/>
      <c r="PUM65" s="37"/>
      <c r="PUN65" s="37"/>
      <c r="PUO65" s="37"/>
      <c r="PUP65" s="37"/>
      <c r="PUQ65" s="37"/>
      <c r="PUR65" s="37"/>
      <c r="PUS65" s="37"/>
      <c r="PUT65" s="37"/>
      <c r="PUU65" s="37"/>
      <c r="PUV65" s="37"/>
      <c r="PUW65" s="37"/>
      <c r="PUX65" s="37"/>
      <c r="PUY65" s="37"/>
      <c r="PUZ65" s="37"/>
      <c r="PVA65" s="37"/>
      <c r="PVB65" s="37"/>
      <c r="PVC65" s="37"/>
      <c r="PVD65" s="37"/>
      <c r="PVE65" s="37"/>
      <c r="PVF65" s="37"/>
      <c r="PVG65" s="37"/>
      <c r="PVH65" s="37"/>
      <c r="PVI65" s="37"/>
      <c r="PVJ65" s="37"/>
      <c r="PVK65" s="37"/>
      <c r="PVL65" s="37"/>
      <c r="PVM65" s="37"/>
      <c r="PVN65" s="37"/>
      <c r="PVO65" s="37"/>
      <c r="PVP65" s="37"/>
      <c r="PVQ65" s="37"/>
      <c r="PVR65" s="37"/>
      <c r="PVS65" s="37"/>
      <c r="PVT65" s="37"/>
      <c r="PVU65" s="37"/>
      <c r="PVV65" s="37"/>
      <c r="PVW65" s="37"/>
      <c r="PVX65" s="37"/>
      <c r="PVY65" s="37"/>
      <c r="PVZ65" s="37"/>
      <c r="PWA65" s="37"/>
      <c r="PWB65" s="37"/>
      <c r="PWC65" s="37"/>
      <c r="PWD65" s="37"/>
      <c r="PWE65" s="37"/>
      <c r="PWF65" s="37"/>
      <c r="PWG65" s="37"/>
      <c r="PWH65" s="37"/>
      <c r="PWI65" s="37"/>
      <c r="PWJ65" s="37"/>
      <c r="PWK65" s="37"/>
      <c r="PWL65" s="37"/>
      <c r="PWM65" s="37"/>
      <c r="PWN65" s="37"/>
      <c r="PWO65" s="37"/>
      <c r="PWP65" s="37"/>
      <c r="PWQ65" s="37"/>
      <c r="PWR65" s="37"/>
      <c r="PWS65" s="37"/>
      <c r="PWT65" s="37"/>
      <c r="PWU65" s="37"/>
      <c r="PWV65" s="37"/>
      <c r="PWW65" s="37"/>
      <c r="PWX65" s="37"/>
      <c r="PWY65" s="37"/>
      <c r="PWZ65" s="37"/>
      <c r="PXA65" s="37"/>
      <c r="PXB65" s="37"/>
      <c r="PXC65" s="37"/>
      <c r="PXD65" s="37"/>
      <c r="PXE65" s="37"/>
      <c r="PXF65" s="37"/>
      <c r="PXG65" s="37"/>
      <c r="PXH65" s="37"/>
      <c r="PXI65" s="37"/>
      <c r="PXJ65" s="37"/>
      <c r="PXK65" s="37"/>
      <c r="PXL65" s="37"/>
      <c r="PXM65" s="37"/>
      <c r="PXN65" s="37"/>
      <c r="PXO65" s="37"/>
      <c r="PXP65" s="37"/>
      <c r="PXQ65" s="37"/>
      <c r="PXR65" s="37"/>
      <c r="PXS65" s="37"/>
      <c r="PXT65" s="37"/>
      <c r="PXU65" s="37"/>
      <c r="PXV65" s="37"/>
      <c r="PXW65" s="37"/>
      <c r="PXX65" s="37"/>
      <c r="PXY65" s="37"/>
      <c r="PXZ65" s="37"/>
      <c r="PYA65" s="37"/>
      <c r="PYB65" s="37"/>
      <c r="PYC65" s="37"/>
      <c r="PYD65" s="37"/>
      <c r="PYE65" s="37"/>
      <c r="PYF65" s="37"/>
      <c r="PYG65" s="37"/>
      <c r="PYH65" s="37"/>
      <c r="PYI65" s="37"/>
      <c r="PYJ65" s="37"/>
      <c r="PYK65" s="37"/>
      <c r="PYL65" s="37"/>
      <c r="PYM65" s="37"/>
      <c r="PYN65" s="37"/>
      <c r="PYO65" s="37"/>
      <c r="PYP65" s="37"/>
      <c r="PYQ65" s="37"/>
      <c r="PYR65" s="37"/>
      <c r="PYS65" s="37"/>
      <c r="PYT65" s="37"/>
      <c r="PYU65" s="37"/>
      <c r="PYV65" s="37"/>
      <c r="PYW65" s="37"/>
      <c r="PYX65" s="37"/>
      <c r="PYY65" s="37"/>
      <c r="PYZ65" s="37"/>
      <c r="PZA65" s="37"/>
      <c r="PZB65" s="37"/>
      <c r="PZC65" s="37"/>
      <c r="PZD65" s="37"/>
      <c r="PZE65" s="37"/>
      <c r="PZF65" s="37"/>
      <c r="PZG65" s="37"/>
      <c r="PZH65" s="37"/>
      <c r="PZI65" s="37"/>
      <c r="PZJ65" s="37"/>
      <c r="PZK65" s="37"/>
      <c r="PZL65" s="37"/>
      <c r="PZM65" s="37"/>
      <c r="PZN65" s="37"/>
      <c r="PZO65" s="37"/>
      <c r="PZP65" s="37"/>
      <c r="PZQ65" s="37"/>
      <c r="PZR65" s="37"/>
      <c r="PZS65" s="37"/>
      <c r="PZT65" s="37"/>
      <c r="PZU65" s="37"/>
      <c r="PZV65" s="37"/>
      <c r="PZW65" s="37"/>
      <c r="PZX65" s="37"/>
      <c r="PZY65" s="37"/>
      <c r="PZZ65" s="37"/>
      <c r="QAA65" s="37"/>
      <c r="QAB65" s="37"/>
      <c r="QAC65" s="37"/>
      <c r="QAD65" s="37"/>
      <c r="QAE65" s="37"/>
      <c r="QAF65" s="37"/>
      <c r="QAG65" s="37"/>
      <c r="QAH65" s="37"/>
      <c r="QAI65" s="37"/>
      <c r="QAJ65" s="37"/>
      <c r="QAK65" s="37"/>
      <c r="QAL65" s="37"/>
      <c r="QAM65" s="37"/>
      <c r="QAN65" s="37"/>
      <c r="QAO65" s="37"/>
      <c r="QAP65" s="37"/>
      <c r="QAQ65" s="37"/>
      <c r="QAR65" s="37"/>
      <c r="QAS65" s="37"/>
      <c r="QAT65" s="37"/>
      <c r="QAU65" s="37"/>
      <c r="QAV65" s="37"/>
      <c r="QAW65" s="37"/>
      <c r="QAX65" s="37"/>
      <c r="QAY65" s="37"/>
      <c r="QAZ65" s="37"/>
      <c r="QBA65" s="37"/>
      <c r="QBB65" s="37"/>
      <c r="QBC65" s="37"/>
      <c r="QBD65" s="37"/>
      <c r="QBE65" s="37"/>
      <c r="QBF65" s="37"/>
      <c r="QBG65" s="37"/>
      <c r="QBH65" s="37"/>
      <c r="QBI65" s="37"/>
      <c r="QBJ65" s="37"/>
      <c r="QBK65" s="37"/>
      <c r="QBL65" s="37"/>
      <c r="QBM65" s="37"/>
      <c r="QBN65" s="37"/>
      <c r="QBO65" s="37"/>
      <c r="QBP65" s="37"/>
      <c r="QBQ65" s="37"/>
      <c r="QBR65" s="37"/>
      <c r="QBS65" s="37"/>
      <c r="QBT65" s="37"/>
      <c r="QBU65" s="37"/>
      <c r="QBV65" s="37"/>
      <c r="QBW65" s="37"/>
      <c r="QBX65" s="37"/>
      <c r="QBY65" s="37"/>
      <c r="QBZ65" s="37"/>
      <c r="QCA65" s="37"/>
      <c r="QCB65" s="37"/>
      <c r="QCC65" s="37"/>
      <c r="QCD65" s="37"/>
      <c r="QCE65" s="37"/>
      <c r="QCF65" s="37"/>
      <c r="QCG65" s="37"/>
      <c r="QCH65" s="37"/>
      <c r="QCI65" s="37"/>
      <c r="QCJ65" s="37"/>
      <c r="QCK65" s="37"/>
      <c r="QCL65" s="37"/>
      <c r="QCM65" s="37"/>
      <c r="QCN65" s="37"/>
      <c r="QCO65" s="37"/>
      <c r="QCP65" s="37"/>
      <c r="QCQ65" s="37"/>
      <c r="QCR65" s="37"/>
      <c r="QCS65" s="37"/>
      <c r="QCT65" s="37"/>
      <c r="QCU65" s="37"/>
      <c r="QCV65" s="37"/>
      <c r="QCW65" s="37"/>
      <c r="QCX65" s="37"/>
      <c r="QCY65" s="37"/>
      <c r="QCZ65" s="37"/>
      <c r="QDA65" s="37"/>
      <c r="QDB65" s="37"/>
      <c r="QDC65" s="37"/>
      <c r="QDD65" s="37"/>
      <c r="QDE65" s="37"/>
      <c r="QDF65" s="37"/>
      <c r="QDG65" s="37"/>
      <c r="QDH65" s="37"/>
      <c r="QDI65" s="37"/>
      <c r="QDJ65" s="37"/>
      <c r="QDK65" s="37"/>
      <c r="QDL65" s="37"/>
      <c r="QDM65" s="37"/>
      <c r="QDN65" s="37"/>
      <c r="QDO65" s="37"/>
      <c r="QDP65" s="37"/>
      <c r="QDQ65" s="37"/>
      <c r="QDR65" s="37"/>
      <c r="QDS65" s="37"/>
      <c r="QDT65" s="37"/>
      <c r="QDU65" s="37"/>
      <c r="QDV65" s="37"/>
      <c r="QDW65" s="37"/>
      <c r="QDX65" s="37"/>
      <c r="QDY65" s="37"/>
      <c r="QDZ65" s="37"/>
      <c r="QEA65" s="37"/>
      <c r="QEB65" s="37"/>
      <c r="QEC65" s="37"/>
      <c r="QED65" s="37"/>
      <c r="QEE65" s="37"/>
      <c r="QEF65" s="37"/>
      <c r="QEG65" s="37"/>
      <c r="QEH65" s="37"/>
      <c r="QEI65" s="37"/>
      <c r="QEJ65" s="37"/>
      <c r="QEK65" s="37"/>
      <c r="QEL65" s="37"/>
      <c r="QEM65" s="37"/>
      <c r="QEN65" s="37"/>
      <c r="QEO65" s="37"/>
      <c r="QEP65" s="37"/>
      <c r="QEQ65" s="37"/>
      <c r="QER65" s="37"/>
      <c r="QES65" s="37"/>
      <c r="QET65" s="37"/>
      <c r="QEU65" s="37"/>
      <c r="QEV65" s="37"/>
      <c r="QEW65" s="37"/>
      <c r="QEX65" s="37"/>
      <c r="QEY65" s="37"/>
      <c r="QEZ65" s="37"/>
      <c r="QFA65" s="37"/>
      <c r="QFB65" s="37"/>
      <c r="QFC65" s="37"/>
      <c r="QFD65" s="37"/>
      <c r="QFE65" s="37"/>
      <c r="QFF65" s="37"/>
      <c r="QFG65" s="37"/>
      <c r="QFH65" s="37"/>
      <c r="QFI65" s="37"/>
      <c r="QFJ65" s="37"/>
      <c r="QFK65" s="37"/>
      <c r="QFL65" s="37"/>
      <c r="QFM65" s="37"/>
      <c r="QFN65" s="37"/>
      <c r="QFO65" s="37"/>
      <c r="QFP65" s="37"/>
      <c r="QFQ65" s="37"/>
      <c r="QFR65" s="37"/>
      <c r="QFS65" s="37"/>
      <c r="QFT65" s="37"/>
      <c r="QFU65" s="37"/>
      <c r="QFV65" s="37"/>
      <c r="QFW65" s="37"/>
      <c r="QFX65" s="37"/>
      <c r="QFY65" s="37"/>
      <c r="QFZ65" s="37"/>
      <c r="QGA65" s="37"/>
      <c r="QGB65" s="37"/>
      <c r="QGC65" s="37"/>
      <c r="QGD65" s="37"/>
      <c r="QGE65" s="37"/>
      <c r="QGF65" s="37"/>
      <c r="QGG65" s="37"/>
      <c r="QGH65" s="37"/>
      <c r="QGI65" s="37"/>
      <c r="QGJ65" s="37"/>
      <c r="QGK65" s="37"/>
      <c r="QGL65" s="37"/>
      <c r="QGM65" s="37"/>
      <c r="QGN65" s="37"/>
      <c r="QGO65" s="37"/>
      <c r="QGP65" s="37"/>
      <c r="QGQ65" s="37"/>
      <c r="QGR65" s="37"/>
      <c r="QGS65" s="37"/>
      <c r="QGT65" s="37"/>
      <c r="QGU65" s="37"/>
      <c r="QGV65" s="37"/>
      <c r="QGW65" s="37"/>
      <c r="QGX65" s="37"/>
      <c r="QGY65" s="37"/>
      <c r="QGZ65" s="37"/>
      <c r="QHA65" s="37"/>
      <c r="QHB65" s="37"/>
      <c r="QHC65" s="37"/>
      <c r="QHD65" s="37"/>
      <c r="QHE65" s="37"/>
      <c r="QHF65" s="37"/>
      <c r="QHG65" s="37"/>
      <c r="QHH65" s="37"/>
      <c r="QHI65" s="37"/>
      <c r="QHJ65" s="37"/>
      <c r="QHK65" s="37"/>
      <c r="QHL65" s="37"/>
      <c r="QHM65" s="37"/>
      <c r="QHN65" s="37"/>
      <c r="QHO65" s="37"/>
      <c r="QHP65" s="37"/>
      <c r="QHQ65" s="37"/>
      <c r="QHR65" s="37"/>
      <c r="QHS65" s="37"/>
      <c r="QHT65" s="37"/>
      <c r="QHU65" s="37"/>
      <c r="QHV65" s="37"/>
      <c r="QHW65" s="37"/>
      <c r="QHX65" s="37"/>
      <c r="QHY65" s="37"/>
      <c r="QHZ65" s="37"/>
      <c r="QIA65" s="37"/>
      <c r="QIB65" s="37"/>
      <c r="QIC65" s="37"/>
      <c r="QID65" s="37"/>
      <c r="QIE65" s="37"/>
      <c r="QIF65" s="37"/>
      <c r="QIG65" s="37"/>
      <c r="QIH65" s="37"/>
      <c r="QII65" s="37"/>
      <c r="QIJ65" s="37"/>
      <c r="QIK65" s="37"/>
      <c r="QIL65" s="37"/>
      <c r="QIM65" s="37"/>
      <c r="QIN65" s="37"/>
      <c r="QIO65" s="37"/>
      <c r="QIP65" s="37"/>
      <c r="QIQ65" s="37"/>
      <c r="QIR65" s="37"/>
      <c r="QIS65" s="37"/>
      <c r="QIT65" s="37"/>
      <c r="QIU65" s="37"/>
      <c r="QIV65" s="37"/>
      <c r="QIW65" s="37"/>
      <c r="QIX65" s="37"/>
      <c r="QIY65" s="37"/>
      <c r="QIZ65" s="37"/>
      <c r="QJA65" s="37"/>
      <c r="QJB65" s="37"/>
      <c r="QJC65" s="37"/>
      <c r="QJD65" s="37"/>
      <c r="QJE65" s="37"/>
      <c r="QJF65" s="37"/>
      <c r="QJG65" s="37"/>
      <c r="QJH65" s="37"/>
      <c r="QJI65" s="37"/>
      <c r="QJJ65" s="37"/>
      <c r="QJK65" s="37"/>
      <c r="QJL65" s="37"/>
      <c r="QJM65" s="37"/>
      <c r="QJN65" s="37"/>
      <c r="QJO65" s="37"/>
      <c r="QJP65" s="37"/>
      <c r="QJQ65" s="37"/>
      <c r="QJR65" s="37"/>
      <c r="QJS65" s="37"/>
      <c r="QJT65" s="37"/>
      <c r="QJU65" s="37"/>
      <c r="QJV65" s="37"/>
      <c r="QJW65" s="37"/>
      <c r="QJX65" s="37"/>
      <c r="QJY65" s="37"/>
      <c r="QJZ65" s="37"/>
      <c r="QKA65" s="37"/>
      <c r="QKB65" s="37"/>
      <c r="QKC65" s="37"/>
      <c r="QKD65" s="37"/>
      <c r="QKE65" s="37"/>
      <c r="QKF65" s="37"/>
      <c r="QKG65" s="37"/>
      <c r="QKH65" s="37"/>
      <c r="QKI65" s="37"/>
      <c r="QKJ65" s="37"/>
      <c r="QKK65" s="37"/>
      <c r="QKL65" s="37"/>
      <c r="QKM65" s="37"/>
      <c r="QKN65" s="37"/>
      <c r="QKO65" s="37"/>
      <c r="QKP65" s="37"/>
      <c r="QKQ65" s="37"/>
      <c r="QKR65" s="37"/>
      <c r="QKS65" s="37"/>
      <c r="QKT65" s="37"/>
      <c r="QKU65" s="37"/>
      <c r="QKV65" s="37"/>
      <c r="QKW65" s="37"/>
      <c r="QKX65" s="37"/>
      <c r="QKY65" s="37"/>
      <c r="QKZ65" s="37"/>
      <c r="QLA65" s="37"/>
      <c r="QLB65" s="37"/>
      <c r="QLC65" s="37"/>
      <c r="QLD65" s="37"/>
      <c r="QLE65" s="37"/>
      <c r="QLF65" s="37"/>
      <c r="QLG65" s="37"/>
      <c r="QLH65" s="37"/>
      <c r="QLI65" s="37"/>
      <c r="QLJ65" s="37"/>
      <c r="QLK65" s="37"/>
      <c r="QLL65" s="37"/>
      <c r="QLM65" s="37"/>
      <c r="QLN65" s="37"/>
      <c r="QLO65" s="37"/>
      <c r="QLP65" s="37"/>
      <c r="QLQ65" s="37"/>
      <c r="QLR65" s="37"/>
      <c r="QLS65" s="37"/>
      <c r="QLT65" s="37"/>
      <c r="QLU65" s="37"/>
      <c r="QLV65" s="37"/>
      <c r="QLW65" s="37"/>
      <c r="QLX65" s="37"/>
      <c r="QLY65" s="37"/>
      <c r="QLZ65" s="37"/>
      <c r="QMA65" s="37"/>
      <c r="QMB65" s="37"/>
      <c r="QMC65" s="37"/>
      <c r="QMD65" s="37"/>
      <c r="QME65" s="37"/>
      <c r="QMF65" s="37"/>
      <c r="QMG65" s="37"/>
      <c r="QMH65" s="37"/>
      <c r="QMI65" s="37"/>
      <c r="QMJ65" s="37"/>
      <c r="QMK65" s="37"/>
      <c r="QML65" s="37"/>
      <c r="QMM65" s="37"/>
      <c r="QMN65" s="37"/>
      <c r="QMO65" s="37"/>
      <c r="QMP65" s="37"/>
      <c r="QMQ65" s="37"/>
      <c r="QMR65" s="37"/>
      <c r="QMS65" s="37"/>
      <c r="QMT65" s="37"/>
      <c r="QMU65" s="37"/>
      <c r="QMV65" s="37"/>
      <c r="QMW65" s="37"/>
      <c r="QMX65" s="37"/>
      <c r="QMY65" s="37"/>
      <c r="QMZ65" s="37"/>
      <c r="QNA65" s="37"/>
      <c r="QNB65" s="37"/>
      <c r="QNC65" s="37"/>
      <c r="QND65" s="37"/>
      <c r="QNE65" s="37"/>
      <c r="QNF65" s="37"/>
      <c r="QNG65" s="37"/>
      <c r="QNH65" s="37"/>
      <c r="QNI65" s="37"/>
      <c r="QNJ65" s="37"/>
      <c r="QNK65" s="37"/>
      <c r="QNL65" s="37"/>
      <c r="QNM65" s="37"/>
      <c r="QNN65" s="37"/>
      <c r="QNO65" s="37"/>
      <c r="QNP65" s="37"/>
      <c r="QNQ65" s="37"/>
      <c r="QNR65" s="37"/>
      <c r="QNS65" s="37"/>
      <c r="QNT65" s="37"/>
      <c r="QNU65" s="37"/>
      <c r="QNV65" s="37"/>
      <c r="QNW65" s="37"/>
      <c r="QNX65" s="37"/>
      <c r="QNY65" s="37"/>
      <c r="QNZ65" s="37"/>
      <c r="QOA65" s="37"/>
      <c r="QOB65" s="37"/>
      <c r="QOC65" s="37"/>
      <c r="QOD65" s="37"/>
      <c r="QOE65" s="37"/>
      <c r="QOF65" s="37"/>
      <c r="QOG65" s="37"/>
      <c r="QOH65" s="37"/>
      <c r="QOI65" s="37"/>
      <c r="QOJ65" s="37"/>
      <c r="QOK65" s="37"/>
      <c r="QOL65" s="37"/>
      <c r="QOM65" s="37"/>
      <c r="QON65" s="37"/>
      <c r="QOO65" s="37"/>
      <c r="QOP65" s="37"/>
      <c r="QOQ65" s="37"/>
      <c r="QOR65" s="37"/>
      <c r="QOS65" s="37"/>
      <c r="QOT65" s="37"/>
      <c r="QOU65" s="37"/>
      <c r="QOV65" s="37"/>
      <c r="QOW65" s="37"/>
      <c r="QOX65" s="37"/>
      <c r="QOY65" s="37"/>
      <c r="QOZ65" s="37"/>
      <c r="QPA65" s="37"/>
      <c r="QPB65" s="37"/>
      <c r="QPC65" s="37"/>
      <c r="QPD65" s="37"/>
      <c r="QPE65" s="37"/>
      <c r="QPF65" s="37"/>
      <c r="QPG65" s="37"/>
      <c r="QPH65" s="37"/>
      <c r="QPI65" s="37"/>
      <c r="QPJ65" s="37"/>
      <c r="QPK65" s="37"/>
      <c r="QPL65" s="37"/>
      <c r="QPM65" s="37"/>
      <c r="QPN65" s="37"/>
      <c r="QPO65" s="37"/>
      <c r="QPP65" s="37"/>
      <c r="QPQ65" s="37"/>
      <c r="QPR65" s="37"/>
      <c r="QPS65" s="37"/>
      <c r="QPT65" s="37"/>
      <c r="QPU65" s="37"/>
      <c r="QPV65" s="37"/>
      <c r="QPW65" s="37"/>
      <c r="QPX65" s="37"/>
      <c r="QPY65" s="37"/>
      <c r="QPZ65" s="37"/>
      <c r="QQA65" s="37"/>
      <c r="QQB65" s="37"/>
      <c r="QQC65" s="37"/>
      <c r="QQD65" s="37"/>
      <c r="QQE65" s="37"/>
      <c r="QQF65" s="37"/>
      <c r="QQG65" s="37"/>
      <c r="QQH65" s="37"/>
      <c r="QQI65" s="37"/>
      <c r="QQJ65" s="37"/>
      <c r="QQK65" s="37"/>
      <c r="QQL65" s="37"/>
      <c r="QQM65" s="37"/>
      <c r="QQN65" s="37"/>
      <c r="QQO65" s="37"/>
      <c r="QQP65" s="37"/>
      <c r="QQQ65" s="37"/>
      <c r="QQR65" s="37"/>
      <c r="QQS65" s="37"/>
      <c r="QQT65" s="37"/>
      <c r="QQU65" s="37"/>
      <c r="QQV65" s="37"/>
      <c r="QQW65" s="37"/>
      <c r="QQX65" s="37"/>
      <c r="QQY65" s="37"/>
      <c r="QQZ65" s="37"/>
      <c r="QRA65" s="37"/>
      <c r="QRB65" s="37"/>
      <c r="QRC65" s="37"/>
      <c r="QRD65" s="37"/>
      <c r="QRE65" s="37"/>
      <c r="QRF65" s="37"/>
      <c r="QRG65" s="37"/>
      <c r="QRH65" s="37"/>
      <c r="QRI65" s="37"/>
      <c r="QRJ65" s="37"/>
      <c r="QRK65" s="37"/>
      <c r="QRL65" s="37"/>
      <c r="QRM65" s="37"/>
      <c r="QRN65" s="37"/>
      <c r="QRO65" s="37"/>
      <c r="QRP65" s="37"/>
      <c r="QRQ65" s="37"/>
      <c r="QRR65" s="37"/>
      <c r="QRS65" s="37"/>
      <c r="QRT65" s="37"/>
      <c r="QRU65" s="37"/>
      <c r="QRV65" s="37"/>
      <c r="QRW65" s="37"/>
      <c r="QRX65" s="37"/>
      <c r="QRY65" s="37"/>
      <c r="QRZ65" s="37"/>
      <c r="QSA65" s="37"/>
      <c r="QSB65" s="37"/>
      <c r="QSC65" s="37"/>
      <c r="QSD65" s="37"/>
      <c r="QSE65" s="37"/>
      <c r="QSF65" s="37"/>
      <c r="QSG65" s="37"/>
      <c r="QSH65" s="37"/>
      <c r="QSI65" s="37"/>
      <c r="QSJ65" s="37"/>
      <c r="QSK65" s="37"/>
      <c r="QSL65" s="37"/>
      <c r="QSM65" s="37"/>
      <c r="QSN65" s="37"/>
      <c r="QSO65" s="37"/>
      <c r="QSP65" s="37"/>
      <c r="QSQ65" s="37"/>
      <c r="QSR65" s="37"/>
      <c r="QSS65" s="37"/>
      <c r="QST65" s="37"/>
      <c r="QSU65" s="37"/>
      <c r="QSV65" s="37"/>
      <c r="QSW65" s="37"/>
      <c r="QSX65" s="37"/>
      <c r="QSY65" s="37"/>
      <c r="QSZ65" s="37"/>
      <c r="QTA65" s="37"/>
      <c r="QTB65" s="37"/>
      <c r="QTC65" s="37"/>
      <c r="QTD65" s="37"/>
      <c r="QTE65" s="37"/>
      <c r="QTF65" s="37"/>
      <c r="QTG65" s="37"/>
      <c r="QTH65" s="37"/>
      <c r="QTI65" s="37"/>
      <c r="QTJ65" s="37"/>
      <c r="QTK65" s="37"/>
      <c r="QTL65" s="37"/>
      <c r="QTM65" s="37"/>
      <c r="QTN65" s="37"/>
      <c r="QTO65" s="37"/>
      <c r="QTP65" s="37"/>
      <c r="QTQ65" s="37"/>
      <c r="QTR65" s="37"/>
      <c r="QTS65" s="37"/>
      <c r="QTT65" s="37"/>
      <c r="QTU65" s="37"/>
      <c r="QTV65" s="37"/>
      <c r="QTW65" s="37"/>
      <c r="QTX65" s="37"/>
      <c r="QTY65" s="37"/>
      <c r="QTZ65" s="37"/>
      <c r="QUA65" s="37"/>
      <c r="QUB65" s="37"/>
      <c r="QUC65" s="37"/>
      <c r="QUD65" s="37"/>
      <c r="QUE65" s="37"/>
      <c r="QUF65" s="37"/>
      <c r="QUG65" s="37"/>
      <c r="QUH65" s="37"/>
      <c r="QUI65" s="37"/>
      <c r="QUJ65" s="37"/>
      <c r="QUK65" s="37"/>
      <c r="QUL65" s="37"/>
      <c r="QUM65" s="37"/>
      <c r="QUN65" s="37"/>
      <c r="QUO65" s="37"/>
      <c r="QUP65" s="37"/>
      <c r="QUQ65" s="37"/>
      <c r="QUR65" s="37"/>
      <c r="QUS65" s="37"/>
      <c r="QUT65" s="37"/>
      <c r="QUU65" s="37"/>
      <c r="QUV65" s="37"/>
      <c r="QUW65" s="37"/>
      <c r="QUX65" s="37"/>
      <c r="QUY65" s="37"/>
      <c r="QUZ65" s="37"/>
      <c r="QVA65" s="37"/>
      <c r="QVB65" s="37"/>
      <c r="QVC65" s="37"/>
      <c r="QVD65" s="37"/>
      <c r="QVE65" s="37"/>
      <c r="QVF65" s="37"/>
      <c r="QVG65" s="37"/>
      <c r="QVH65" s="37"/>
      <c r="QVI65" s="37"/>
      <c r="QVJ65" s="37"/>
      <c r="QVK65" s="37"/>
      <c r="QVL65" s="37"/>
      <c r="QVM65" s="37"/>
      <c r="QVN65" s="37"/>
      <c r="QVO65" s="37"/>
      <c r="QVP65" s="37"/>
      <c r="QVQ65" s="37"/>
      <c r="QVR65" s="37"/>
      <c r="QVS65" s="37"/>
      <c r="QVT65" s="37"/>
      <c r="QVU65" s="37"/>
      <c r="QVV65" s="37"/>
      <c r="QVW65" s="37"/>
      <c r="QVX65" s="37"/>
      <c r="QVY65" s="37"/>
      <c r="QVZ65" s="37"/>
      <c r="QWA65" s="37"/>
      <c r="QWB65" s="37"/>
      <c r="QWC65" s="37"/>
      <c r="QWD65" s="37"/>
      <c r="QWE65" s="37"/>
      <c r="QWF65" s="37"/>
      <c r="QWG65" s="37"/>
      <c r="QWH65" s="37"/>
      <c r="QWI65" s="37"/>
      <c r="QWJ65" s="37"/>
      <c r="QWK65" s="37"/>
      <c r="QWL65" s="37"/>
      <c r="QWM65" s="37"/>
      <c r="QWN65" s="37"/>
      <c r="QWO65" s="37"/>
      <c r="QWP65" s="37"/>
      <c r="QWQ65" s="37"/>
      <c r="QWR65" s="37"/>
      <c r="QWS65" s="37"/>
      <c r="QWT65" s="37"/>
      <c r="QWU65" s="37"/>
      <c r="QWV65" s="37"/>
      <c r="QWW65" s="37"/>
      <c r="QWX65" s="37"/>
      <c r="QWY65" s="37"/>
      <c r="QWZ65" s="37"/>
      <c r="QXA65" s="37"/>
      <c r="QXB65" s="37"/>
      <c r="QXC65" s="37"/>
      <c r="QXD65" s="37"/>
      <c r="QXE65" s="37"/>
      <c r="QXF65" s="37"/>
      <c r="QXG65" s="37"/>
      <c r="QXH65" s="37"/>
      <c r="QXI65" s="37"/>
      <c r="QXJ65" s="37"/>
      <c r="QXK65" s="37"/>
      <c r="QXL65" s="37"/>
      <c r="QXM65" s="37"/>
      <c r="QXN65" s="37"/>
      <c r="QXO65" s="37"/>
      <c r="QXP65" s="37"/>
      <c r="QXQ65" s="37"/>
      <c r="QXR65" s="37"/>
      <c r="QXS65" s="37"/>
      <c r="QXT65" s="37"/>
      <c r="QXU65" s="37"/>
      <c r="QXV65" s="37"/>
      <c r="QXW65" s="37"/>
      <c r="QXX65" s="37"/>
      <c r="QXY65" s="37"/>
      <c r="QXZ65" s="37"/>
      <c r="QYA65" s="37"/>
      <c r="QYB65" s="37"/>
      <c r="QYC65" s="37"/>
      <c r="QYD65" s="37"/>
      <c r="QYE65" s="37"/>
      <c r="QYF65" s="37"/>
      <c r="QYG65" s="37"/>
      <c r="QYH65" s="37"/>
      <c r="QYI65" s="37"/>
      <c r="QYJ65" s="37"/>
      <c r="QYK65" s="37"/>
      <c r="QYL65" s="37"/>
      <c r="QYM65" s="37"/>
      <c r="QYN65" s="37"/>
      <c r="QYO65" s="37"/>
      <c r="QYP65" s="37"/>
      <c r="QYQ65" s="37"/>
      <c r="QYR65" s="37"/>
      <c r="QYS65" s="37"/>
      <c r="QYT65" s="37"/>
      <c r="QYU65" s="37"/>
      <c r="QYV65" s="37"/>
      <c r="QYW65" s="37"/>
      <c r="QYX65" s="37"/>
      <c r="QYY65" s="37"/>
      <c r="QYZ65" s="37"/>
      <c r="QZA65" s="37"/>
      <c r="QZB65" s="37"/>
      <c r="QZC65" s="37"/>
      <c r="QZD65" s="37"/>
      <c r="QZE65" s="37"/>
      <c r="QZF65" s="37"/>
      <c r="QZG65" s="37"/>
      <c r="QZH65" s="37"/>
      <c r="QZI65" s="37"/>
      <c r="QZJ65" s="37"/>
      <c r="QZK65" s="37"/>
      <c r="QZL65" s="37"/>
      <c r="QZM65" s="37"/>
      <c r="QZN65" s="37"/>
      <c r="QZO65" s="37"/>
      <c r="QZP65" s="37"/>
      <c r="QZQ65" s="37"/>
      <c r="QZR65" s="37"/>
      <c r="QZS65" s="37"/>
      <c r="QZT65" s="37"/>
      <c r="QZU65" s="37"/>
      <c r="QZV65" s="37"/>
      <c r="QZW65" s="37"/>
      <c r="QZX65" s="37"/>
      <c r="QZY65" s="37"/>
      <c r="QZZ65" s="37"/>
      <c r="RAA65" s="37"/>
      <c r="RAB65" s="37"/>
      <c r="RAC65" s="37"/>
      <c r="RAD65" s="37"/>
      <c r="RAE65" s="37"/>
      <c r="RAF65" s="37"/>
      <c r="RAG65" s="37"/>
      <c r="RAH65" s="37"/>
      <c r="RAI65" s="37"/>
      <c r="RAJ65" s="37"/>
      <c r="RAK65" s="37"/>
      <c r="RAL65" s="37"/>
      <c r="RAM65" s="37"/>
      <c r="RAN65" s="37"/>
      <c r="RAO65" s="37"/>
      <c r="RAP65" s="37"/>
      <c r="RAQ65" s="37"/>
      <c r="RAR65" s="37"/>
      <c r="RAS65" s="37"/>
      <c r="RAT65" s="37"/>
      <c r="RAU65" s="37"/>
      <c r="RAV65" s="37"/>
      <c r="RAW65" s="37"/>
      <c r="RAX65" s="37"/>
      <c r="RAY65" s="37"/>
      <c r="RAZ65" s="37"/>
      <c r="RBA65" s="37"/>
      <c r="RBB65" s="37"/>
      <c r="RBC65" s="37"/>
      <c r="RBD65" s="37"/>
      <c r="RBE65" s="37"/>
      <c r="RBF65" s="37"/>
      <c r="RBG65" s="37"/>
      <c r="RBH65" s="37"/>
      <c r="RBI65" s="37"/>
      <c r="RBJ65" s="37"/>
      <c r="RBK65" s="37"/>
      <c r="RBL65" s="37"/>
      <c r="RBM65" s="37"/>
      <c r="RBN65" s="37"/>
      <c r="RBO65" s="37"/>
      <c r="RBP65" s="37"/>
      <c r="RBQ65" s="37"/>
      <c r="RBR65" s="37"/>
      <c r="RBS65" s="37"/>
      <c r="RBT65" s="37"/>
      <c r="RBU65" s="37"/>
      <c r="RBV65" s="37"/>
      <c r="RBW65" s="37"/>
      <c r="RBX65" s="37"/>
      <c r="RBY65" s="37"/>
      <c r="RBZ65" s="37"/>
      <c r="RCA65" s="37"/>
      <c r="RCB65" s="37"/>
      <c r="RCC65" s="37"/>
      <c r="RCD65" s="37"/>
      <c r="RCE65" s="37"/>
      <c r="RCF65" s="37"/>
      <c r="RCG65" s="37"/>
      <c r="RCH65" s="37"/>
      <c r="RCI65" s="37"/>
      <c r="RCJ65" s="37"/>
      <c r="RCK65" s="37"/>
      <c r="RCL65" s="37"/>
      <c r="RCM65" s="37"/>
      <c r="RCN65" s="37"/>
      <c r="RCO65" s="37"/>
      <c r="RCP65" s="37"/>
      <c r="RCQ65" s="37"/>
      <c r="RCR65" s="37"/>
      <c r="RCS65" s="37"/>
      <c r="RCT65" s="37"/>
      <c r="RCU65" s="37"/>
      <c r="RCV65" s="37"/>
      <c r="RCW65" s="37"/>
      <c r="RCX65" s="37"/>
      <c r="RCY65" s="37"/>
      <c r="RCZ65" s="37"/>
      <c r="RDA65" s="37"/>
      <c r="RDB65" s="37"/>
      <c r="RDC65" s="37"/>
      <c r="RDD65" s="37"/>
      <c r="RDE65" s="37"/>
      <c r="RDF65" s="37"/>
      <c r="RDG65" s="37"/>
      <c r="RDH65" s="37"/>
      <c r="RDI65" s="37"/>
      <c r="RDJ65" s="37"/>
      <c r="RDK65" s="37"/>
      <c r="RDL65" s="37"/>
      <c r="RDM65" s="37"/>
      <c r="RDN65" s="37"/>
      <c r="RDO65" s="37"/>
      <c r="RDP65" s="37"/>
      <c r="RDQ65" s="37"/>
      <c r="RDR65" s="37"/>
      <c r="RDS65" s="37"/>
      <c r="RDT65" s="37"/>
      <c r="RDU65" s="37"/>
      <c r="RDV65" s="37"/>
      <c r="RDW65" s="37"/>
      <c r="RDX65" s="37"/>
      <c r="RDY65" s="37"/>
      <c r="RDZ65" s="37"/>
      <c r="REA65" s="37"/>
      <c r="REB65" s="37"/>
      <c r="REC65" s="37"/>
      <c r="RED65" s="37"/>
      <c r="REE65" s="37"/>
      <c r="REF65" s="37"/>
      <c r="REG65" s="37"/>
      <c r="REH65" s="37"/>
      <c r="REI65" s="37"/>
      <c r="REJ65" s="37"/>
      <c r="REK65" s="37"/>
      <c r="REL65" s="37"/>
      <c r="REM65" s="37"/>
      <c r="REN65" s="37"/>
      <c r="REO65" s="37"/>
      <c r="REP65" s="37"/>
      <c r="REQ65" s="37"/>
      <c r="RER65" s="37"/>
      <c r="RES65" s="37"/>
      <c r="RET65" s="37"/>
      <c r="REU65" s="37"/>
      <c r="REV65" s="37"/>
      <c r="REW65" s="37"/>
      <c r="REX65" s="37"/>
      <c r="REY65" s="37"/>
      <c r="REZ65" s="37"/>
      <c r="RFA65" s="37"/>
      <c r="RFB65" s="37"/>
      <c r="RFC65" s="37"/>
      <c r="RFD65" s="37"/>
      <c r="RFE65" s="37"/>
      <c r="RFF65" s="37"/>
      <c r="RFG65" s="37"/>
      <c r="RFH65" s="37"/>
      <c r="RFI65" s="37"/>
      <c r="RFJ65" s="37"/>
      <c r="RFK65" s="37"/>
      <c r="RFL65" s="37"/>
      <c r="RFM65" s="37"/>
      <c r="RFN65" s="37"/>
      <c r="RFO65" s="37"/>
      <c r="RFP65" s="37"/>
      <c r="RFQ65" s="37"/>
      <c r="RFR65" s="37"/>
      <c r="RFS65" s="37"/>
      <c r="RFT65" s="37"/>
      <c r="RFU65" s="37"/>
      <c r="RFV65" s="37"/>
      <c r="RFW65" s="37"/>
      <c r="RFX65" s="37"/>
      <c r="RFY65" s="37"/>
      <c r="RFZ65" s="37"/>
      <c r="RGA65" s="37"/>
      <c r="RGB65" s="37"/>
      <c r="RGC65" s="37"/>
      <c r="RGD65" s="37"/>
      <c r="RGE65" s="37"/>
      <c r="RGF65" s="37"/>
      <c r="RGG65" s="37"/>
      <c r="RGH65" s="37"/>
      <c r="RGI65" s="37"/>
      <c r="RGJ65" s="37"/>
      <c r="RGK65" s="37"/>
      <c r="RGL65" s="37"/>
      <c r="RGM65" s="37"/>
      <c r="RGN65" s="37"/>
      <c r="RGO65" s="37"/>
      <c r="RGP65" s="37"/>
      <c r="RGQ65" s="37"/>
      <c r="RGR65" s="37"/>
      <c r="RGS65" s="37"/>
      <c r="RGT65" s="37"/>
      <c r="RGU65" s="37"/>
      <c r="RGV65" s="37"/>
      <c r="RGW65" s="37"/>
      <c r="RGX65" s="37"/>
      <c r="RGY65" s="37"/>
      <c r="RGZ65" s="37"/>
      <c r="RHA65" s="37"/>
      <c r="RHB65" s="37"/>
      <c r="RHC65" s="37"/>
      <c r="RHD65" s="37"/>
      <c r="RHE65" s="37"/>
      <c r="RHF65" s="37"/>
      <c r="RHG65" s="37"/>
      <c r="RHH65" s="37"/>
      <c r="RHI65" s="37"/>
      <c r="RHJ65" s="37"/>
      <c r="RHK65" s="37"/>
      <c r="RHL65" s="37"/>
      <c r="RHM65" s="37"/>
      <c r="RHN65" s="37"/>
      <c r="RHO65" s="37"/>
      <c r="RHP65" s="37"/>
      <c r="RHQ65" s="37"/>
      <c r="RHR65" s="37"/>
      <c r="RHS65" s="37"/>
      <c r="RHT65" s="37"/>
      <c r="RHU65" s="37"/>
      <c r="RHV65" s="37"/>
      <c r="RHW65" s="37"/>
      <c r="RHX65" s="37"/>
      <c r="RHY65" s="37"/>
      <c r="RHZ65" s="37"/>
      <c r="RIA65" s="37"/>
      <c r="RIB65" s="37"/>
      <c r="RIC65" s="37"/>
      <c r="RID65" s="37"/>
      <c r="RIE65" s="37"/>
      <c r="RIF65" s="37"/>
      <c r="RIG65" s="37"/>
      <c r="RIH65" s="37"/>
      <c r="RII65" s="37"/>
      <c r="RIJ65" s="37"/>
      <c r="RIK65" s="37"/>
      <c r="RIL65" s="37"/>
      <c r="RIM65" s="37"/>
      <c r="RIN65" s="37"/>
      <c r="RIO65" s="37"/>
      <c r="RIP65" s="37"/>
      <c r="RIQ65" s="37"/>
      <c r="RIR65" s="37"/>
      <c r="RIS65" s="37"/>
      <c r="RIT65" s="37"/>
      <c r="RIU65" s="37"/>
      <c r="RIV65" s="37"/>
      <c r="RIW65" s="37"/>
      <c r="RIX65" s="37"/>
      <c r="RIY65" s="37"/>
      <c r="RIZ65" s="37"/>
      <c r="RJA65" s="37"/>
      <c r="RJB65" s="37"/>
      <c r="RJC65" s="37"/>
      <c r="RJD65" s="37"/>
      <c r="RJE65" s="37"/>
      <c r="RJF65" s="37"/>
      <c r="RJG65" s="37"/>
      <c r="RJH65" s="37"/>
      <c r="RJI65" s="37"/>
      <c r="RJJ65" s="37"/>
      <c r="RJK65" s="37"/>
      <c r="RJL65" s="37"/>
      <c r="RJM65" s="37"/>
      <c r="RJN65" s="37"/>
      <c r="RJO65" s="37"/>
      <c r="RJP65" s="37"/>
      <c r="RJQ65" s="37"/>
      <c r="RJR65" s="37"/>
      <c r="RJS65" s="37"/>
      <c r="RJT65" s="37"/>
      <c r="RJU65" s="37"/>
      <c r="RJV65" s="37"/>
      <c r="RJW65" s="37"/>
      <c r="RJX65" s="37"/>
      <c r="RJY65" s="37"/>
      <c r="RJZ65" s="37"/>
      <c r="RKA65" s="37"/>
      <c r="RKB65" s="37"/>
      <c r="RKC65" s="37"/>
      <c r="RKD65" s="37"/>
      <c r="RKE65" s="37"/>
      <c r="RKF65" s="37"/>
      <c r="RKG65" s="37"/>
      <c r="RKH65" s="37"/>
      <c r="RKI65" s="37"/>
      <c r="RKJ65" s="37"/>
      <c r="RKK65" s="37"/>
      <c r="RKL65" s="37"/>
      <c r="RKM65" s="37"/>
      <c r="RKN65" s="37"/>
      <c r="RKO65" s="37"/>
      <c r="RKP65" s="37"/>
      <c r="RKQ65" s="37"/>
      <c r="RKR65" s="37"/>
      <c r="RKS65" s="37"/>
      <c r="RKT65" s="37"/>
      <c r="RKU65" s="37"/>
      <c r="RKV65" s="37"/>
      <c r="RKW65" s="37"/>
      <c r="RKX65" s="37"/>
      <c r="RKY65" s="37"/>
      <c r="RKZ65" s="37"/>
      <c r="RLA65" s="37"/>
      <c r="RLB65" s="37"/>
      <c r="RLC65" s="37"/>
      <c r="RLD65" s="37"/>
      <c r="RLE65" s="37"/>
      <c r="RLF65" s="37"/>
      <c r="RLG65" s="37"/>
      <c r="RLH65" s="37"/>
      <c r="RLI65" s="37"/>
      <c r="RLJ65" s="37"/>
      <c r="RLK65" s="37"/>
      <c r="RLL65" s="37"/>
      <c r="RLM65" s="37"/>
      <c r="RLN65" s="37"/>
      <c r="RLO65" s="37"/>
      <c r="RLP65" s="37"/>
      <c r="RLQ65" s="37"/>
      <c r="RLR65" s="37"/>
      <c r="RLS65" s="37"/>
      <c r="RLT65" s="37"/>
      <c r="RLU65" s="37"/>
      <c r="RLV65" s="37"/>
      <c r="RLW65" s="37"/>
      <c r="RLX65" s="37"/>
      <c r="RLY65" s="37"/>
      <c r="RLZ65" s="37"/>
      <c r="RMA65" s="37"/>
      <c r="RMB65" s="37"/>
      <c r="RMC65" s="37"/>
      <c r="RMD65" s="37"/>
      <c r="RME65" s="37"/>
      <c r="RMF65" s="37"/>
      <c r="RMG65" s="37"/>
      <c r="RMH65" s="37"/>
      <c r="RMI65" s="37"/>
      <c r="RMJ65" s="37"/>
      <c r="RMK65" s="37"/>
      <c r="RML65" s="37"/>
      <c r="RMM65" s="37"/>
      <c r="RMN65" s="37"/>
      <c r="RMO65" s="37"/>
      <c r="RMP65" s="37"/>
      <c r="RMQ65" s="37"/>
      <c r="RMR65" s="37"/>
      <c r="RMS65" s="37"/>
      <c r="RMT65" s="37"/>
      <c r="RMU65" s="37"/>
      <c r="RMV65" s="37"/>
      <c r="RMW65" s="37"/>
      <c r="RMX65" s="37"/>
      <c r="RMY65" s="37"/>
      <c r="RMZ65" s="37"/>
      <c r="RNA65" s="37"/>
      <c r="RNB65" s="37"/>
      <c r="RNC65" s="37"/>
      <c r="RND65" s="37"/>
      <c r="RNE65" s="37"/>
      <c r="RNF65" s="37"/>
      <c r="RNG65" s="37"/>
      <c r="RNH65" s="37"/>
      <c r="RNI65" s="37"/>
      <c r="RNJ65" s="37"/>
      <c r="RNK65" s="37"/>
      <c r="RNL65" s="37"/>
      <c r="RNM65" s="37"/>
      <c r="RNN65" s="37"/>
      <c r="RNO65" s="37"/>
      <c r="RNP65" s="37"/>
      <c r="RNQ65" s="37"/>
      <c r="RNR65" s="37"/>
      <c r="RNS65" s="37"/>
      <c r="RNT65" s="37"/>
      <c r="RNU65" s="37"/>
      <c r="RNV65" s="37"/>
      <c r="RNW65" s="37"/>
      <c r="RNX65" s="37"/>
      <c r="RNY65" s="37"/>
      <c r="RNZ65" s="37"/>
      <c r="ROA65" s="37"/>
      <c r="ROB65" s="37"/>
      <c r="ROC65" s="37"/>
      <c r="ROD65" s="37"/>
      <c r="ROE65" s="37"/>
      <c r="ROF65" s="37"/>
      <c r="ROG65" s="37"/>
      <c r="ROH65" s="37"/>
      <c r="ROI65" s="37"/>
      <c r="ROJ65" s="37"/>
      <c r="ROK65" s="37"/>
      <c r="ROL65" s="37"/>
      <c r="ROM65" s="37"/>
      <c r="RON65" s="37"/>
      <c r="ROO65" s="37"/>
      <c r="ROP65" s="37"/>
      <c r="ROQ65" s="37"/>
      <c r="ROR65" s="37"/>
      <c r="ROS65" s="37"/>
      <c r="ROT65" s="37"/>
      <c r="ROU65" s="37"/>
      <c r="ROV65" s="37"/>
      <c r="ROW65" s="37"/>
      <c r="ROX65" s="37"/>
      <c r="ROY65" s="37"/>
      <c r="ROZ65" s="37"/>
      <c r="RPA65" s="37"/>
      <c r="RPB65" s="37"/>
      <c r="RPC65" s="37"/>
      <c r="RPD65" s="37"/>
      <c r="RPE65" s="37"/>
      <c r="RPF65" s="37"/>
      <c r="RPG65" s="37"/>
      <c r="RPH65" s="37"/>
      <c r="RPI65" s="37"/>
      <c r="RPJ65" s="37"/>
      <c r="RPK65" s="37"/>
      <c r="RPL65" s="37"/>
      <c r="RPM65" s="37"/>
      <c r="RPN65" s="37"/>
      <c r="RPO65" s="37"/>
      <c r="RPP65" s="37"/>
      <c r="RPQ65" s="37"/>
      <c r="RPR65" s="37"/>
      <c r="RPS65" s="37"/>
      <c r="RPT65" s="37"/>
      <c r="RPU65" s="37"/>
      <c r="RPV65" s="37"/>
      <c r="RPW65" s="37"/>
      <c r="RPX65" s="37"/>
      <c r="RPY65" s="37"/>
      <c r="RPZ65" s="37"/>
      <c r="RQA65" s="37"/>
      <c r="RQB65" s="37"/>
      <c r="RQC65" s="37"/>
      <c r="RQD65" s="37"/>
      <c r="RQE65" s="37"/>
      <c r="RQF65" s="37"/>
      <c r="RQG65" s="37"/>
      <c r="RQH65" s="37"/>
      <c r="RQI65" s="37"/>
      <c r="RQJ65" s="37"/>
      <c r="RQK65" s="37"/>
      <c r="RQL65" s="37"/>
      <c r="RQM65" s="37"/>
      <c r="RQN65" s="37"/>
      <c r="RQO65" s="37"/>
      <c r="RQP65" s="37"/>
      <c r="RQQ65" s="37"/>
      <c r="RQR65" s="37"/>
      <c r="RQS65" s="37"/>
      <c r="RQT65" s="37"/>
      <c r="RQU65" s="37"/>
      <c r="RQV65" s="37"/>
      <c r="RQW65" s="37"/>
      <c r="RQX65" s="37"/>
      <c r="RQY65" s="37"/>
      <c r="RQZ65" s="37"/>
      <c r="RRA65" s="37"/>
      <c r="RRB65" s="37"/>
      <c r="RRC65" s="37"/>
      <c r="RRD65" s="37"/>
      <c r="RRE65" s="37"/>
      <c r="RRF65" s="37"/>
      <c r="RRG65" s="37"/>
      <c r="RRH65" s="37"/>
      <c r="RRI65" s="37"/>
      <c r="RRJ65" s="37"/>
      <c r="RRK65" s="37"/>
      <c r="RRL65" s="37"/>
      <c r="RRM65" s="37"/>
      <c r="RRN65" s="37"/>
      <c r="RRO65" s="37"/>
      <c r="RRP65" s="37"/>
      <c r="RRQ65" s="37"/>
      <c r="RRR65" s="37"/>
      <c r="RRS65" s="37"/>
      <c r="RRT65" s="37"/>
      <c r="RRU65" s="37"/>
      <c r="RRV65" s="37"/>
      <c r="RRW65" s="37"/>
      <c r="RRX65" s="37"/>
      <c r="RRY65" s="37"/>
      <c r="RRZ65" s="37"/>
      <c r="RSA65" s="37"/>
      <c r="RSB65" s="37"/>
      <c r="RSC65" s="37"/>
      <c r="RSD65" s="37"/>
      <c r="RSE65" s="37"/>
      <c r="RSF65" s="37"/>
      <c r="RSG65" s="37"/>
      <c r="RSH65" s="37"/>
      <c r="RSI65" s="37"/>
      <c r="RSJ65" s="37"/>
      <c r="RSK65" s="37"/>
      <c r="RSL65" s="37"/>
      <c r="RSM65" s="37"/>
      <c r="RSN65" s="37"/>
      <c r="RSO65" s="37"/>
      <c r="RSP65" s="37"/>
      <c r="RSQ65" s="37"/>
      <c r="RSR65" s="37"/>
      <c r="RSS65" s="37"/>
      <c r="RST65" s="37"/>
      <c r="RSU65" s="37"/>
      <c r="RSV65" s="37"/>
      <c r="RSW65" s="37"/>
      <c r="RSX65" s="37"/>
      <c r="RSY65" s="37"/>
      <c r="RSZ65" s="37"/>
      <c r="RTA65" s="37"/>
      <c r="RTB65" s="37"/>
      <c r="RTC65" s="37"/>
      <c r="RTD65" s="37"/>
      <c r="RTE65" s="37"/>
      <c r="RTF65" s="37"/>
      <c r="RTG65" s="37"/>
      <c r="RTH65" s="37"/>
      <c r="RTI65" s="37"/>
      <c r="RTJ65" s="37"/>
      <c r="RTK65" s="37"/>
      <c r="RTL65" s="37"/>
      <c r="RTM65" s="37"/>
      <c r="RTN65" s="37"/>
      <c r="RTO65" s="37"/>
      <c r="RTP65" s="37"/>
      <c r="RTQ65" s="37"/>
      <c r="RTR65" s="37"/>
      <c r="RTS65" s="37"/>
      <c r="RTT65" s="37"/>
      <c r="RTU65" s="37"/>
      <c r="RTV65" s="37"/>
      <c r="RTW65" s="37"/>
      <c r="RTX65" s="37"/>
      <c r="RTY65" s="37"/>
      <c r="RTZ65" s="37"/>
      <c r="RUA65" s="37"/>
      <c r="RUB65" s="37"/>
      <c r="RUC65" s="37"/>
      <c r="RUD65" s="37"/>
      <c r="RUE65" s="37"/>
      <c r="RUF65" s="37"/>
      <c r="RUG65" s="37"/>
      <c r="RUH65" s="37"/>
      <c r="RUI65" s="37"/>
      <c r="RUJ65" s="37"/>
      <c r="RUK65" s="37"/>
      <c r="RUL65" s="37"/>
      <c r="RUM65" s="37"/>
      <c r="RUN65" s="37"/>
      <c r="RUO65" s="37"/>
      <c r="RUP65" s="37"/>
      <c r="RUQ65" s="37"/>
      <c r="RUR65" s="37"/>
      <c r="RUS65" s="37"/>
      <c r="RUT65" s="37"/>
      <c r="RUU65" s="37"/>
      <c r="RUV65" s="37"/>
      <c r="RUW65" s="37"/>
      <c r="RUX65" s="37"/>
      <c r="RUY65" s="37"/>
      <c r="RUZ65" s="37"/>
      <c r="RVA65" s="37"/>
      <c r="RVB65" s="37"/>
      <c r="RVC65" s="37"/>
      <c r="RVD65" s="37"/>
      <c r="RVE65" s="37"/>
      <c r="RVF65" s="37"/>
      <c r="RVG65" s="37"/>
      <c r="RVH65" s="37"/>
      <c r="RVI65" s="37"/>
      <c r="RVJ65" s="37"/>
      <c r="RVK65" s="37"/>
      <c r="RVL65" s="37"/>
      <c r="RVM65" s="37"/>
      <c r="RVN65" s="37"/>
      <c r="RVO65" s="37"/>
      <c r="RVP65" s="37"/>
      <c r="RVQ65" s="37"/>
      <c r="RVR65" s="37"/>
      <c r="RVS65" s="37"/>
      <c r="RVT65" s="37"/>
      <c r="RVU65" s="37"/>
      <c r="RVV65" s="37"/>
      <c r="RVW65" s="37"/>
      <c r="RVX65" s="37"/>
      <c r="RVY65" s="37"/>
      <c r="RVZ65" s="37"/>
      <c r="RWA65" s="37"/>
      <c r="RWB65" s="37"/>
      <c r="RWC65" s="37"/>
      <c r="RWD65" s="37"/>
      <c r="RWE65" s="37"/>
      <c r="RWF65" s="37"/>
      <c r="RWG65" s="37"/>
      <c r="RWH65" s="37"/>
      <c r="RWI65" s="37"/>
      <c r="RWJ65" s="37"/>
      <c r="RWK65" s="37"/>
      <c r="RWL65" s="37"/>
      <c r="RWM65" s="37"/>
      <c r="RWN65" s="37"/>
      <c r="RWO65" s="37"/>
      <c r="RWP65" s="37"/>
      <c r="RWQ65" s="37"/>
      <c r="RWR65" s="37"/>
      <c r="RWS65" s="37"/>
      <c r="RWT65" s="37"/>
      <c r="RWU65" s="37"/>
      <c r="RWV65" s="37"/>
      <c r="RWW65" s="37"/>
      <c r="RWX65" s="37"/>
      <c r="RWY65" s="37"/>
      <c r="RWZ65" s="37"/>
      <c r="RXA65" s="37"/>
      <c r="RXB65" s="37"/>
      <c r="RXC65" s="37"/>
      <c r="RXD65" s="37"/>
      <c r="RXE65" s="37"/>
      <c r="RXF65" s="37"/>
      <c r="RXG65" s="37"/>
      <c r="RXH65" s="37"/>
      <c r="RXI65" s="37"/>
      <c r="RXJ65" s="37"/>
      <c r="RXK65" s="37"/>
      <c r="RXL65" s="37"/>
      <c r="RXM65" s="37"/>
      <c r="RXN65" s="37"/>
      <c r="RXO65" s="37"/>
      <c r="RXP65" s="37"/>
      <c r="RXQ65" s="37"/>
      <c r="RXR65" s="37"/>
      <c r="RXS65" s="37"/>
      <c r="RXT65" s="37"/>
      <c r="RXU65" s="37"/>
      <c r="RXV65" s="37"/>
      <c r="RXW65" s="37"/>
      <c r="RXX65" s="37"/>
      <c r="RXY65" s="37"/>
      <c r="RXZ65" s="37"/>
      <c r="RYA65" s="37"/>
      <c r="RYB65" s="37"/>
      <c r="RYC65" s="37"/>
      <c r="RYD65" s="37"/>
      <c r="RYE65" s="37"/>
      <c r="RYF65" s="37"/>
      <c r="RYG65" s="37"/>
      <c r="RYH65" s="37"/>
      <c r="RYI65" s="37"/>
      <c r="RYJ65" s="37"/>
      <c r="RYK65" s="37"/>
      <c r="RYL65" s="37"/>
      <c r="RYM65" s="37"/>
      <c r="RYN65" s="37"/>
      <c r="RYO65" s="37"/>
      <c r="RYP65" s="37"/>
      <c r="RYQ65" s="37"/>
      <c r="RYR65" s="37"/>
      <c r="RYS65" s="37"/>
      <c r="RYT65" s="37"/>
      <c r="RYU65" s="37"/>
      <c r="RYV65" s="37"/>
      <c r="RYW65" s="37"/>
      <c r="RYX65" s="37"/>
      <c r="RYY65" s="37"/>
      <c r="RYZ65" s="37"/>
      <c r="RZA65" s="37"/>
      <c r="RZB65" s="37"/>
      <c r="RZC65" s="37"/>
      <c r="RZD65" s="37"/>
      <c r="RZE65" s="37"/>
      <c r="RZF65" s="37"/>
      <c r="RZG65" s="37"/>
      <c r="RZH65" s="37"/>
      <c r="RZI65" s="37"/>
      <c r="RZJ65" s="37"/>
      <c r="RZK65" s="37"/>
      <c r="RZL65" s="37"/>
      <c r="RZM65" s="37"/>
      <c r="RZN65" s="37"/>
      <c r="RZO65" s="37"/>
      <c r="RZP65" s="37"/>
      <c r="RZQ65" s="37"/>
      <c r="RZR65" s="37"/>
      <c r="RZS65" s="37"/>
      <c r="RZT65" s="37"/>
      <c r="RZU65" s="37"/>
      <c r="RZV65" s="37"/>
      <c r="RZW65" s="37"/>
      <c r="RZX65" s="37"/>
      <c r="RZY65" s="37"/>
      <c r="RZZ65" s="37"/>
      <c r="SAA65" s="37"/>
      <c r="SAB65" s="37"/>
      <c r="SAC65" s="37"/>
      <c r="SAD65" s="37"/>
      <c r="SAE65" s="37"/>
      <c r="SAF65" s="37"/>
      <c r="SAG65" s="37"/>
      <c r="SAH65" s="37"/>
      <c r="SAI65" s="37"/>
      <c r="SAJ65" s="37"/>
      <c r="SAK65" s="37"/>
      <c r="SAL65" s="37"/>
      <c r="SAM65" s="37"/>
      <c r="SAN65" s="37"/>
      <c r="SAO65" s="37"/>
      <c r="SAP65" s="37"/>
      <c r="SAQ65" s="37"/>
      <c r="SAR65" s="37"/>
      <c r="SAS65" s="37"/>
      <c r="SAT65" s="37"/>
      <c r="SAU65" s="37"/>
      <c r="SAV65" s="37"/>
      <c r="SAW65" s="37"/>
      <c r="SAX65" s="37"/>
      <c r="SAY65" s="37"/>
      <c r="SAZ65" s="37"/>
      <c r="SBA65" s="37"/>
      <c r="SBB65" s="37"/>
      <c r="SBC65" s="37"/>
      <c r="SBD65" s="37"/>
      <c r="SBE65" s="37"/>
      <c r="SBF65" s="37"/>
      <c r="SBG65" s="37"/>
      <c r="SBH65" s="37"/>
      <c r="SBI65" s="37"/>
      <c r="SBJ65" s="37"/>
      <c r="SBK65" s="37"/>
      <c r="SBL65" s="37"/>
      <c r="SBM65" s="37"/>
      <c r="SBN65" s="37"/>
      <c r="SBO65" s="37"/>
      <c r="SBP65" s="37"/>
      <c r="SBQ65" s="37"/>
      <c r="SBR65" s="37"/>
      <c r="SBS65" s="37"/>
      <c r="SBT65" s="37"/>
      <c r="SBU65" s="37"/>
      <c r="SBV65" s="37"/>
      <c r="SBW65" s="37"/>
      <c r="SBX65" s="37"/>
      <c r="SBY65" s="37"/>
      <c r="SBZ65" s="37"/>
      <c r="SCA65" s="37"/>
      <c r="SCB65" s="37"/>
      <c r="SCC65" s="37"/>
      <c r="SCD65" s="37"/>
      <c r="SCE65" s="37"/>
      <c r="SCF65" s="37"/>
      <c r="SCG65" s="37"/>
      <c r="SCH65" s="37"/>
      <c r="SCI65" s="37"/>
      <c r="SCJ65" s="37"/>
      <c r="SCK65" s="37"/>
      <c r="SCL65" s="37"/>
      <c r="SCM65" s="37"/>
      <c r="SCN65" s="37"/>
      <c r="SCO65" s="37"/>
      <c r="SCP65" s="37"/>
      <c r="SCQ65" s="37"/>
      <c r="SCR65" s="37"/>
      <c r="SCS65" s="37"/>
      <c r="SCT65" s="37"/>
      <c r="SCU65" s="37"/>
      <c r="SCV65" s="37"/>
      <c r="SCW65" s="37"/>
      <c r="SCX65" s="37"/>
      <c r="SCY65" s="37"/>
      <c r="SCZ65" s="37"/>
      <c r="SDA65" s="37"/>
      <c r="SDB65" s="37"/>
      <c r="SDC65" s="37"/>
      <c r="SDD65" s="37"/>
      <c r="SDE65" s="37"/>
      <c r="SDF65" s="37"/>
      <c r="SDG65" s="37"/>
      <c r="SDH65" s="37"/>
      <c r="SDI65" s="37"/>
      <c r="SDJ65" s="37"/>
      <c r="SDK65" s="37"/>
      <c r="SDL65" s="37"/>
      <c r="SDM65" s="37"/>
      <c r="SDN65" s="37"/>
      <c r="SDO65" s="37"/>
      <c r="SDP65" s="37"/>
      <c r="SDQ65" s="37"/>
      <c r="SDR65" s="37"/>
      <c r="SDS65" s="37"/>
      <c r="SDT65" s="37"/>
      <c r="SDU65" s="37"/>
      <c r="SDV65" s="37"/>
      <c r="SDW65" s="37"/>
      <c r="SDX65" s="37"/>
      <c r="SDY65" s="37"/>
      <c r="SDZ65" s="37"/>
      <c r="SEA65" s="37"/>
      <c r="SEB65" s="37"/>
      <c r="SEC65" s="37"/>
      <c r="SED65" s="37"/>
      <c r="SEE65" s="37"/>
      <c r="SEF65" s="37"/>
      <c r="SEG65" s="37"/>
      <c r="SEH65" s="37"/>
      <c r="SEI65" s="37"/>
      <c r="SEJ65" s="37"/>
      <c r="SEK65" s="37"/>
      <c r="SEL65" s="37"/>
      <c r="SEM65" s="37"/>
      <c r="SEN65" s="37"/>
      <c r="SEO65" s="37"/>
      <c r="SEP65" s="37"/>
      <c r="SEQ65" s="37"/>
      <c r="SER65" s="37"/>
      <c r="SES65" s="37"/>
      <c r="SET65" s="37"/>
      <c r="SEU65" s="37"/>
      <c r="SEV65" s="37"/>
      <c r="SEW65" s="37"/>
      <c r="SEX65" s="37"/>
      <c r="SEY65" s="37"/>
      <c r="SEZ65" s="37"/>
      <c r="SFA65" s="37"/>
      <c r="SFB65" s="37"/>
      <c r="SFC65" s="37"/>
      <c r="SFD65" s="37"/>
      <c r="SFE65" s="37"/>
      <c r="SFF65" s="37"/>
      <c r="SFG65" s="37"/>
      <c r="SFH65" s="37"/>
      <c r="SFI65" s="37"/>
      <c r="SFJ65" s="37"/>
      <c r="SFK65" s="37"/>
      <c r="SFL65" s="37"/>
      <c r="SFM65" s="37"/>
      <c r="SFN65" s="37"/>
      <c r="SFO65" s="37"/>
      <c r="SFP65" s="37"/>
      <c r="SFQ65" s="37"/>
      <c r="SFR65" s="37"/>
      <c r="SFS65" s="37"/>
      <c r="SFT65" s="37"/>
      <c r="SFU65" s="37"/>
      <c r="SFV65" s="37"/>
      <c r="SFW65" s="37"/>
      <c r="SFX65" s="37"/>
      <c r="SFY65" s="37"/>
      <c r="SFZ65" s="37"/>
      <c r="SGA65" s="37"/>
      <c r="SGB65" s="37"/>
      <c r="SGC65" s="37"/>
      <c r="SGD65" s="37"/>
      <c r="SGE65" s="37"/>
      <c r="SGF65" s="37"/>
      <c r="SGG65" s="37"/>
      <c r="SGH65" s="37"/>
      <c r="SGI65" s="37"/>
      <c r="SGJ65" s="37"/>
      <c r="SGK65" s="37"/>
      <c r="SGL65" s="37"/>
      <c r="SGM65" s="37"/>
      <c r="SGN65" s="37"/>
      <c r="SGO65" s="37"/>
      <c r="SGP65" s="37"/>
      <c r="SGQ65" s="37"/>
      <c r="SGR65" s="37"/>
      <c r="SGS65" s="37"/>
      <c r="SGT65" s="37"/>
      <c r="SGU65" s="37"/>
      <c r="SGV65" s="37"/>
      <c r="SGW65" s="37"/>
      <c r="SGX65" s="37"/>
      <c r="SGY65" s="37"/>
      <c r="SGZ65" s="37"/>
      <c r="SHA65" s="37"/>
      <c r="SHB65" s="37"/>
      <c r="SHC65" s="37"/>
      <c r="SHD65" s="37"/>
      <c r="SHE65" s="37"/>
      <c r="SHF65" s="37"/>
      <c r="SHG65" s="37"/>
      <c r="SHH65" s="37"/>
      <c r="SHI65" s="37"/>
      <c r="SHJ65" s="37"/>
      <c r="SHK65" s="37"/>
      <c r="SHL65" s="37"/>
      <c r="SHM65" s="37"/>
      <c r="SHN65" s="37"/>
      <c r="SHO65" s="37"/>
      <c r="SHP65" s="37"/>
      <c r="SHQ65" s="37"/>
      <c r="SHR65" s="37"/>
      <c r="SHS65" s="37"/>
      <c r="SHT65" s="37"/>
      <c r="SHU65" s="37"/>
      <c r="SHV65" s="37"/>
      <c r="SHW65" s="37"/>
      <c r="SHX65" s="37"/>
      <c r="SHY65" s="37"/>
      <c r="SHZ65" s="37"/>
      <c r="SIA65" s="37"/>
      <c r="SIB65" s="37"/>
      <c r="SIC65" s="37"/>
      <c r="SID65" s="37"/>
      <c r="SIE65" s="37"/>
      <c r="SIF65" s="37"/>
      <c r="SIG65" s="37"/>
      <c r="SIH65" s="37"/>
      <c r="SII65" s="37"/>
      <c r="SIJ65" s="37"/>
      <c r="SIK65" s="37"/>
      <c r="SIL65" s="37"/>
      <c r="SIM65" s="37"/>
      <c r="SIN65" s="37"/>
      <c r="SIO65" s="37"/>
      <c r="SIP65" s="37"/>
      <c r="SIQ65" s="37"/>
      <c r="SIR65" s="37"/>
      <c r="SIS65" s="37"/>
      <c r="SIT65" s="37"/>
      <c r="SIU65" s="37"/>
      <c r="SIV65" s="37"/>
      <c r="SIW65" s="37"/>
      <c r="SIX65" s="37"/>
      <c r="SIY65" s="37"/>
      <c r="SIZ65" s="37"/>
      <c r="SJA65" s="37"/>
      <c r="SJB65" s="37"/>
      <c r="SJC65" s="37"/>
      <c r="SJD65" s="37"/>
      <c r="SJE65" s="37"/>
      <c r="SJF65" s="37"/>
      <c r="SJG65" s="37"/>
      <c r="SJH65" s="37"/>
      <c r="SJI65" s="37"/>
      <c r="SJJ65" s="37"/>
      <c r="SJK65" s="37"/>
      <c r="SJL65" s="37"/>
      <c r="SJM65" s="37"/>
      <c r="SJN65" s="37"/>
      <c r="SJO65" s="37"/>
      <c r="SJP65" s="37"/>
      <c r="SJQ65" s="37"/>
      <c r="SJR65" s="37"/>
      <c r="SJS65" s="37"/>
      <c r="SJT65" s="37"/>
      <c r="SJU65" s="37"/>
      <c r="SJV65" s="37"/>
      <c r="SJW65" s="37"/>
      <c r="SJX65" s="37"/>
      <c r="SJY65" s="37"/>
      <c r="SJZ65" s="37"/>
      <c r="SKA65" s="37"/>
      <c r="SKB65" s="37"/>
      <c r="SKC65" s="37"/>
      <c r="SKD65" s="37"/>
      <c r="SKE65" s="37"/>
      <c r="SKF65" s="37"/>
      <c r="SKG65" s="37"/>
      <c r="SKH65" s="37"/>
      <c r="SKI65" s="37"/>
      <c r="SKJ65" s="37"/>
      <c r="SKK65" s="37"/>
      <c r="SKL65" s="37"/>
      <c r="SKM65" s="37"/>
      <c r="SKN65" s="37"/>
      <c r="SKO65" s="37"/>
      <c r="SKP65" s="37"/>
      <c r="SKQ65" s="37"/>
      <c r="SKR65" s="37"/>
      <c r="SKS65" s="37"/>
      <c r="SKT65" s="37"/>
      <c r="SKU65" s="37"/>
      <c r="SKV65" s="37"/>
      <c r="SKW65" s="37"/>
      <c r="SKX65" s="37"/>
      <c r="SKY65" s="37"/>
      <c r="SKZ65" s="37"/>
      <c r="SLA65" s="37"/>
      <c r="SLB65" s="37"/>
      <c r="SLC65" s="37"/>
      <c r="SLD65" s="37"/>
      <c r="SLE65" s="37"/>
      <c r="SLF65" s="37"/>
      <c r="SLG65" s="37"/>
      <c r="SLH65" s="37"/>
      <c r="SLI65" s="37"/>
      <c r="SLJ65" s="37"/>
      <c r="SLK65" s="37"/>
      <c r="SLL65" s="37"/>
      <c r="SLM65" s="37"/>
      <c r="SLN65" s="37"/>
      <c r="SLO65" s="37"/>
      <c r="SLP65" s="37"/>
      <c r="SLQ65" s="37"/>
      <c r="SLR65" s="37"/>
      <c r="SLS65" s="37"/>
      <c r="SLT65" s="37"/>
      <c r="SLU65" s="37"/>
      <c r="SLV65" s="37"/>
      <c r="SLW65" s="37"/>
      <c r="SLX65" s="37"/>
      <c r="SLY65" s="37"/>
      <c r="SLZ65" s="37"/>
      <c r="SMA65" s="37"/>
      <c r="SMB65" s="37"/>
      <c r="SMC65" s="37"/>
      <c r="SMD65" s="37"/>
      <c r="SME65" s="37"/>
      <c r="SMF65" s="37"/>
      <c r="SMG65" s="37"/>
      <c r="SMH65" s="37"/>
      <c r="SMI65" s="37"/>
      <c r="SMJ65" s="37"/>
      <c r="SMK65" s="37"/>
      <c r="SML65" s="37"/>
      <c r="SMM65" s="37"/>
      <c r="SMN65" s="37"/>
      <c r="SMO65" s="37"/>
      <c r="SMP65" s="37"/>
      <c r="SMQ65" s="37"/>
      <c r="SMR65" s="37"/>
      <c r="SMS65" s="37"/>
      <c r="SMT65" s="37"/>
      <c r="SMU65" s="37"/>
      <c r="SMV65" s="37"/>
      <c r="SMW65" s="37"/>
      <c r="SMX65" s="37"/>
      <c r="SMY65" s="37"/>
      <c r="SMZ65" s="37"/>
      <c r="SNA65" s="37"/>
      <c r="SNB65" s="37"/>
      <c r="SNC65" s="37"/>
      <c r="SND65" s="37"/>
      <c r="SNE65" s="37"/>
      <c r="SNF65" s="37"/>
      <c r="SNG65" s="37"/>
      <c r="SNH65" s="37"/>
      <c r="SNI65" s="37"/>
      <c r="SNJ65" s="37"/>
      <c r="SNK65" s="37"/>
      <c r="SNL65" s="37"/>
      <c r="SNM65" s="37"/>
      <c r="SNN65" s="37"/>
      <c r="SNO65" s="37"/>
      <c r="SNP65" s="37"/>
      <c r="SNQ65" s="37"/>
      <c r="SNR65" s="37"/>
      <c r="SNS65" s="37"/>
      <c r="SNT65" s="37"/>
      <c r="SNU65" s="37"/>
      <c r="SNV65" s="37"/>
      <c r="SNW65" s="37"/>
      <c r="SNX65" s="37"/>
      <c r="SNY65" s="37"/>
      <c r="SNZ65" s="37"/>
      <c r="SOA65" s="37"/>
      <c r="SOB65" s="37"/>
      <c r="SOC65" s="37"/>
      <c r="SOD65" s="37"/>
      <c r="SOE65" s="37"/>
      <c r="SOF65" s="37"/>
      <c r="SOG65" s="37"/>
      <c r="SOH65" s="37"/>
      <c r="SOI65" s="37"/>
      <c r="SOJ65" s="37"/>
      <c r="SOK65" s="37"/>
      <c r="SOL65" s="37"/>
      <c r="SOM65" s="37"/>
      <c r="SON65" s="37"/>
      <c r="SOO65" s="37"/>
      <c r="SOP65" s="37"/>
      <c r="SOQ65" s="37"/>
      <c r="SOR65" s="37"/>
      <c r="SOS65" s="37"/>
      <c r="SOT65" s="37"/>
      <c r="SOU65" s="37"/>
      <c r="SOV65" s="37"/>
      <c r="SOW65" s="37"/>
      <c r="SOX65" s="37"/>
      <c r="SOY65" s="37"/>
      <c r="SOZ65" s="37"/>
      <c r="SPA65" s="37"/>
      <c r="SPB65" s="37"/>
      <c r="SPC65" s="37"/>
      <c r="SPD65" s="37"/>
      <c r="SPE65" s="37"/>
      <c r="SPF65" s="37"/>
      <c r="SPG65" s="37"/>
      <c r="SPH65" s="37"/>
      <c r="SPI65" s="37"/>
      <c r="SPJ65" s="37"/>
      <c r="SPK65" s="37"/>
      <c r="SPL65" s="37"/>
      <c r="SPM65" s="37"/>
      <c r="SPN65" s="37"/>
      <c r="SPO65" s="37"/>
      <c r="SPP65" s="37"/>
      <c r="SPQ65" s="37"/>
      <c r="SPR65" s="37"/>
      <c r="SPS65" s="37"/>
      <c r="SPT65" s="37"/>
      <c r="SPU65" s="37"/>
      <c r="SPV65" s="37"/>
      <c r="SPW65" s="37"/>
      <c r="SPX65" s="37"/>
      <c r="SPY65" s="37"/>
      <c r="SPZ65" s="37"/>
      <c r="SQA65" s="37"/>
      <c r="SQB65" s="37"/>
      <c r="SQC65" s="37"/>
      <c r="SQD65" s="37"/>
      <c r="SQE65" s="37"/>
      <c r="SQF65" s="37"/>
      <c r="SQG65" s="37"/>
      <c r="SQH65" s="37"/>
      <c r="SQI65" s="37"/>
      <c r="SQJ65" s="37"/>
      <c r="SQK65" s="37"/>
      <c r="SQL65" s="37"/>
      <c r="SQM65" s="37"/>
      <c r="SQN65" s="37"/>
      <c r="SQO65" s="37"/>
      <c r="SQP65" s="37"/>
      <c r="SQQ65" s="37"/>
      <c r="SQR65" s="37"/>
      <c r="SQS65" s="37"/>
      <c r="SQT65" s="37"/>
      <c r="SQU65" s="37"/>
      <c r="SQV65" s="37"/>
      <c r="SQW65" s="37"/>
      <c r="SQX65" s="37"/>
      <c r="SQY65" s="37"/>
      <c r="SQZ65" s="37"/>
      <c r="SRA65" s="37"/>
      <c r="SRB65" s="37"/>
      <c r="SRC65" s="37"/>
      <c r="SRD65" s="37"/>
      <c r="SRE65" s="37"/>
      <c r="SRF65" s="37"/>
      <c r="SRG65" s="37"/>
      <c r="SRH65" s="37"/>
      <c r="SRI65" s="37"/>
      <c r="SRJ65" s="37"/>
      <c r="SRK65" s="37"/>
      <c r="SRL65" s="37"/>
      <c r="SRM65" s="37"/>
      <c r="SRN65" s="37"/>
      <c r="SRO65" s="37"/>
      <c r="SRP65" s="37"/>
      <c r="SRQ65" s="37"/>
      <c r="SRR65" s="37"/>
      <c r="SRS65" s="37"/>
      <c r="SRT65" s="37"/>
      <c r="SRU65" s="37"/>
      <c r="SRV65" s="37"/>
      <c r="SRW65" s="37"/>
      <c r="SRX65" s="37"/>
      <c r="SRY65" s="37"/>
      <c r="SRZ65" s="37"/>
      <c r="SSA65" s="37"/>
      <c r="SSB65" s="37"/>
      <c r="SSC65" s="37"/>
      <c r="SSD65" s="37"/>
      <c r="SSE65" s="37"/>
      <c r="SSF65" s="37"/>
      <c r="SSG65" s="37"/>
      <c r="SSH65" s="37"/>
      <c r="SSI65" s="37"/>
      <c r="SSJ65" s="37"/>
      <c r="SSK65" s="37"/>
      <c r="SSL65" s="37"/>
      <c r="SSM65" s="37"/>
      <c r="SSN65" s="37"/>
      <c r="SSO65" s="37"/>
      <c r="SSP65" s="37"/>
      <c r="SSQ65" s="37"/>
      <c r="SSR65" s="37"/>
      <c r="SSS65" s="37"/>
      <c r="SST65" s="37"/>
      <c r="SSU65" s="37"/>
      <c r="SSV65" s="37"/>
      <c r="SSW65" s="37"/>
      <c r="SSX65" s="37"/>
      <c r="SSY65" s="37"/>
      <c r="SSZ65" s="37"/>
      <c r="STA65" s="37"/>
      <c r="STB65" s="37"/>
      <c r="STC65" s="37"/>
      <c r="STD65" s="37"/>
      <c r="STE65" s="37"/>
      <c r="STF65" s="37"/>
      <c r="STG65" s="37"/>
      <c r="STH65" s="37"/>
      <c r="STI65" s="37"/>
      <c r="STJ65" s="37"/>
      <c r="STK65" s="37"/>
      <c r="STL65" s="37"/>
      <c r="STM65" s="37"/>
      <c r="STN65" s="37"/>
      <c r="STO65" s="37"/>
      <c r="STP65" s="37"/>
      <c r="STQ65" s="37"/>
      <c r="STR65" s="37"/>
      <c r="STS65" s="37"/>
      <c r="STT65" s="37"/>
      <c r="STU65" s="37"/>
      <c r="STV65" s="37"/>
      <c r="STW65" s="37"/>
      <c r="STX65" s="37"/>
      <c r="STY65" s="37"/>
      <c r="STZ65" s="37"/>
      <c r="SUA65" s="37"/>
      <c r="SUB65" s="37"/>
      <c r="SUC65" s="37"/>
      <c r="SUD65" s="37"/>
      <c r="SUE65" s="37"/>
      <c r="SUF65" s="37"/>
      <c r="SUG65" s="37"/>
      <c r="SUH65" s="37"/>
      <c r="SUI65" s="37"/>
      <c r="SUJ65" s="37"/>
      <c r="SUK65" s="37"/>
      <c r="SUL65" s="37"/>
      <c r="SUM65" s="37"/>
      <c r="SUN65" s="37"/>
      <c r="SUO65" s="37"/>
      <c r="SUP65" s="37"/>
      <c r="SUQ65" s="37"/>
      <c r="SUR65" s="37"/>
      <c r="SUS65" s="37"/>
      <c r="SUT65" s="37"/>
      <c r="SUU65" s="37"/>
      <c r="SUV65" s="37"/>
      <c r="SUW65" s="37"/>
      <c r="SUX65" s="37"/>
      <c r="SUY65" s="37"/>
      <c r="SUZ65" s="37"/>
      <c r="SVA65" s="37"/>
      <c r="SVB65" s="37"/>
      <c r="SVC65" s="37"/>
      <c r="SVD65" s="37"/>
      <c r="SVE65" s="37"/>
      <c r="SVF65" s="37"/>
      <c r="SVG65" s="37"/>
      <c r="SVH65" s="37"/>
      <c r="SVI65" s="37"/>
      <c r="SVJ65" s="37"/>
      <c r="SVK65" s="37"/>
      <c r="SVL65" s="37"/>
      <c r="SVM65" s="37"/>
      <c r="SVN65" s="37"/>
      <c r="SVO65" s="37"/>
      <c r="SVP65" s="37"/>
      <c r="SVQ65" s="37"/>
      <c r="SVR65" s="37"/>
      <c r="SVS65" s="37"/>
      <c r="SVT65" s="37"/>
      <c r="SVU65" s="37"/>
      <c r="SVV65" s="37"/>
      <c r="SVW65" s="37"/>
      <c r="SVX65" s="37"/>
      <c r="SVY65" s="37"/>
      <c r="SVZ65" s="37"/>
      <c r="SWA65" s="37"/>
      <c r="SWB65" s="37"/>
      <c r="SWC65" s="37"/>
      <c r="SWD65" s="37"/>
      <c r="SWE65" s="37"/>
      <c r="SWF65" s="37"/>
      <c r="SWG65" s="37"/>
      <c r="SWH65" s="37"/>
      <c r="SWI65" s="37"/>
      <c r="SWJ65" s="37"/>
      <c r="SWK65" s="37"/>
      <c r="SWL65" s="37"/>
      <c r="SWM65" s="37"/>
      <c r="SWN65" s="37"/>
      <c r="SWO65" s="37"/>
      <c r="SWP65" s="37"/>
      <c r="SWQ65" s="37"/>
      <c r="SWR65" s="37"/>
      <c r="SWS65" s="37"/>
      <c r="SWT65" s="37"/>
      <c r="SWU65" s="37"/>
      <c r="SWV65" s="37"/>
      <c r="SWW65" s="37"/>
      <c r="SWX65" s="37"/>
      <c r="SWY65" s="37"/>
      <c r="SWZ65" s="37"/>
      <c r="SXA65" s="37"/>
      <c r="SXB65" s="37"/>
      <c r="SXC65" s="37"/>
      <c r="SXD65" s="37"/>
      <c r="SXE65" s="37"/>
      <c r="SXF65" s="37"/>
      <c r="SXG65" s="37"/>
      <c r="SXH65" s="37"/>
      <c r="SXI65" s="37"/>
      <c r="SXJ65" s="37"/>
      <c r="SXK65" s="37"/>
      <c r="SXL65" s="37"/>
      <c r="SXM65" s="37"/>
      <c r="SXN65" s="37"/>
      <c r="SXO65" s="37"/>
      <c r="SXP65" s="37"/>
      <c r="SXQ65" s="37"/>
      <c r="SXR65" s="37"/>
      <c r="SXS65" s="37"/>
      <c r="SXT65" s="37"/>
      <c r="SXU65" s="37"/>
      <c r="SXV65" s="37"/>
      <c r="SXW65" s="37"/>
      <c r="SXX65" s="37"/>
      <c r="SXY65" s="37"/>
      <c r="SXZ65" s="37"/>
      <c r="SYA65" s="37"/>
      <c r="SYB65" s="37"/>
      <c r="SYC65" s="37"/>
      <c r="SYD65" s="37"/>
      <c r="SYE65" s="37"/>
      <c r="SYF65" s="37"/>
      <c r="SYG65" s="37"/>
      <c r="SYH65" s="37"/>
      <c r="SYI65" s="37"/>
      <c r="SYJ65" s="37"/>
      <c r="SYK65" s="37"/>
      <c r="SYL65" s="37"/>
      <c r="SYM65" s="37"/>
      <c r="SYN65" s="37"/>
      <c r="SYO65" s="37"/>
      <c r="SYP65" s="37"/>
      <c r="SYQ65" s="37"/>
      <c r="SYR65" s="37"/>
      <c r="SYS65" s="37"/>
      <c r="SYT65" s="37"/>
      <c r="SYU65" s="37"/>
      <c r="SYV65" s="37"/>
      <c r="SYW65" s="37"/>
      <c r="SYX65" s="37"/>
      <c r="SYY65" s="37"/>
      <c r="SYZ65" s="37"/>
      <c r="SZA65" s="37"/>
      <c r="SZB65" s="37"/>
      <c r="SZC65" s="37"/>
      <c r="SZD65" s="37"/>
      <c r="SZE65" s="37"/>
      <c r="SZF65" s="37"/>
      <c r="SZG65" s="37"/>
      <c r="SZH65" s="37"/>
      <c r="SZI65" s="37"/>
      <c r="SZJ65" s="37"/>
      <c r="SZK65" s="37"/>
      <c r="SZL65" s="37"/>
      <c r="SZM65" s="37"/>
      <c r="SZN65" s="37"/>
      <c r="SZO65" s="37"/>
      <c r="SZP65" s="37"/>
      <c r="SZQ65" s="37"/>
      <c r="SZR65" s="37"/>
      <c r="SZS65" s="37"/>
      <c r="SZT65" s="37"/>
      <c r="SZU65" s="37"/>
      <c r="SZV65" s="37"/>
      <c r="SZW65" s="37"/>
      <c r="SZX65" s="37"/>
      <c r="SZY65" s="37"/>
      <c r="SZZ65" s="37"/>
      <c r="TAA65" s="37"/>
      <c r="TAB65" s="37"/>
      <c r="TAC65" s="37"/>
      <c r="TAD65" s="37"/>
      <c r="TAE65" s="37"/>
      <c r="TAF65" s="37"/>
      <c r="TAG65" s="37"/>
      <c r="TAH65" s="37"/>
      <c r="TAI65" s="37"/>
      <c r="TAJ65" s="37"/>
      <c r="TAK65" s="37"/>
      <c r="TAL65" s="37"/>
      <c r="TAM65" s="37"/>
      <c r="TAN65" s="37"/>
      <c r="TAO65" s="37"/>
      <c r="TAP65" s="37"/>
      <c r="TAQ65" s="37"/>
      <c r="TAR65" s="37"/>
      <c r="TAS65" s="37"/>
      <c r="TAT65" s="37"/>
      <c r="TAU65" s="37"/>
      <c r="TAV65" s="37"/>
      <c r="TAW65" s="37"/>
      <c r="TAX65" s="37"/>
      <c r="TAY65" s="37"/>
      <c r="TAZ65" s="37"/>
      <c r="TBA65" s="37"/>
      <c r="TBB65" s="37"/>
      <c r="TBC65" s="37"/>
      <c r="TBD65" s="37"/>
      <c r="TBE65" s="37"/>
      <c r="TBF65" s="37"/>
      <c r="TBG65" s="37"/>
      <c r="TBH65" s="37"/>
      <c r="TBI65" s="37"/>
      <c r="TBJ65" s="37"/>
      <c r="TBK65" s="37"/>
      <c r="TBL65" s="37"/>
      <c r="TBM65" s="37"/>
      <c r="TBN65" s="37"/>
      <c r="TBO65" s="37"/>
      <c r="TBP65" s="37"/>
      <c r="TBQ65" s="37"/>
      <c r="TBR65" s="37"/>
      <c r="TBS65" s="37"/>
      <c r="TBT65" s="37"/>
      <c r="TBU65" s="37"/>
      <c r="TBV65" s="37"/>
      <c r="TBW65" s="37"/>
      <c r="TBX65" s="37"/>
      <c r="TBY65" s="37"/>
      <c r="TBZ65" s="37"/>
      <c r="TCA65" s="37"/>
      <c r="TCB65" s="37"/>
      <c r="TCC65" s="37"/>
      <c r="TCD65" s="37"/>
      <c r="TCE65" s="37"/>
      <c r="TCF65" s="37"/>
      <c r="TCG65" s="37"/>
      <c r="TCH65" s="37"/>
      <c r="TCI65" s="37"/>
      <c r="TCJ65" s="37"/>
      <c r="TCK65" s="37"/>
      <c r="TCL65" s="37"/>
      <c r="TCM65" s="37"/>
      <c r="TCN65" s="37"/>
      <c r="TCO65" s="37"/>
      <c r="TCP65" s="37"/>
      <c r="TCQ65" s="37"/>
      <c r="TCR65" s="37"/>
      <c r="TCS65" s="37"/>
      <c r="TCT65" s="37"/>
      <c r="TCU65" s="37"/>
      <c r="TCV65" s="37"/>
      <c r="TCW65" s="37"/>
      <c r="TCX65" s="37"/>
      <c r="TCY65" s="37"/>
      <c r="TCZ65" s="37"/>
      <c r="TDA65" s="37"/>
      <c r="TDB65" s="37"/>
      <c r="TDC65" s="37"/>
      <c r="TDD65" s="37"/>
      <c r="TDE65" s="37"/>
      <c r="TDF65" s="37"/>
      <c r="TDG65" s="37"/>
      <c r="TDH65" s="37"/>
      <c r="TDI65" s="37"/>
      <c r="TDJ65" s="37"/>
      <c r="TDK65" s="37"/>
      <c r="TDL65" s="37"/>
      <c r="TDM65" s="37"/>
      <c r="TDN65" s="37"/>
      <c r="TDO65" s="37"/>
      <c r="TDP65" s="37"/>
      <c r="TDQ65" s="37"/>
      <c r="TDR65" s="37"/>
      <c r="TDS65" s="37"/>
      <c r="TDT65" s="37"/>
      <c r="TDU65" s="37"/>
      <c r="TDV65" s="37"/>
      <c r="TDW65" s="37"/>
      <c r="TDX65" s="37"/>
      <c r="TDY65" s="37"/>
      <c r="TDZ65" s="37"/>
      <c r="TEA65" s="37"/>
      <c r="TEB65" s="37"/>
      <c r="TEC65" s="37"/>
      <c r="TED65" s="37"/>
      <c r="TEE65" s="37"/>
      <c r="TEF65" s="37"/>
      <c r="TEG65" s="37"/>
      <c r="TEH65" s="37"/>
      <c r="TEI65" s="37"/>
      <c r="TEJ65" s="37"/>
      <c r="TEK65" s="37"/>
      <c r="TEL65" s="37"/>
      <c r="TEM65" s="37"/>
      <c r="TEN65" s="37"/>
      <c r="TEO65" s="37"/>
      <c r="TEP65" s="37"/>
      <c r="TEQ65" s="37"/>
      <c r="TER65" s="37"/>
      <c r="TES65" s="37"/>
      <c r="TET65" s="37"/>
      <c r="TEU65" s="37"/>
      <c r="TEV65" s="37"/>
      <c r="TEW65" s="37"/>
      <c r="TEX65" s="37"/>
      <c r="TEY65" s="37"/>
      <c r="TEZ65" s="37"/>
      <c r="TFA65" s="37"/>
      <c r="TFB65" s="37"/>
      <c r="TFC65" s="37"/>
      <c r="TFD65" s="37"/>
      <c r="TFE65" s="37"/>
      <c r="TFF65" s="37"/>
      <c r="TFG65" s="37"/>
      <c r="TFH65" s="37"/>
      <c r="TFI65" s="37"/>
      <c r="TFJ65" s="37"/>
      <c r="TFK65" s="37"/>
      <c r="TFL65" s="37"/>
      <c r="TFM65" s="37"/>
      <c r="TFN65" s="37"/>
      <c r="TFO65" s="37"/>
      <c r="TFP65" s="37"/>
      <c r="TFQ65" s="37"/>
      <c r="TFR65" s="37"/>
      <c r="TFS65" s="37"/>
      <c r="TFT65" s="37"/>
      <c r="TFU65" s="37"/>
      <c r="TFV65" s="37"/>
      <c r="TFW65" s="37"/>
      <c r="TFX65" s="37"/>
      <c r="TFY65" s="37"/>
      <c r="TFZ65" s="37"/>
      <c r="TGA65" s="37"/>
      <c r="TGB65" s="37"/>
      <c r="TGC65" s="37"/>
      <c r="TGD65" s="37"/>
      <c r="TGE65" s="37"/>
      <c r="TGF65" s="37"/>
      <c r="TGG65" s="37"/>
      <c r="TGH65" s="37"/>
      <c r="TGI65" s="37"/>
      <c r="TGJ65" s="37"/>
      <c r="TGK65" s="37"/>
      <c r="TGL65" s="37"/>
      <c r="TGM65" s="37"/>
      <c r="TGN65" s="37"/>
      <c r="TGO65" s="37"/>
      <c r="TGP65" s="37"/>
      <c r="TGQ65" s="37"/>
      <c r="TGR65" s="37"/>
      <c r="TGS65" s="37"/>
      <c r="TGT65" s="37"/>
      <c r="TGU65" s="37"/>
      <c r="TGV65" s="37"/>
      <c r="TGW65" s="37"/>
      <c r="TGX65" s="37"/>
      <c r="TGY65" s="37"/>
      <c r="TGZ65" s="37"/>
      <c r="THA65" s="37"/>
      <c r="THB65" s="37"/>
      <c r="THC65" s="37"/>
      <c r="THD65" s="37"/>
      <c r="THE65" s="37"/>
      <c r="THF65" s="37"/>
      <c r="THG65" s="37"/>
      <c r="THH65" s="37"/>
      <c r="THI65" s="37"/>
      <c r="THJ65" s="37"/>
      <c r="THK65" s="37"/>
      <c r="THL65" s="37"/>
      <c r="THM65" s="37"/>
      <c r="THN65" s="37"/>
      <c r="THO65" s="37"/>
      <c r="THP65" s="37"/>
      <c r="THQ65" s="37"/>
      <c r="THR65" s="37"/>
      <c r="THS65" s="37"/>
      <c r="THT65" s="37"/>
      <c r="THU65" s="37"/>
      <c r="THV65" s="37"/>
      <c r="THW65" s="37"/>
      <c r="THX65" s="37"/>
      <c r="THY65" s="37"/>
      <c r="THZ65" s="37"/>
      <c r="TIA65" s="37"/>
      <c r="TIB65" s="37"/>
      <c r="TIC65" s="37"/>
      <c r="TID65" s="37"/>
      <c r="TIE65" s="37"/>
      <c r="TIF65" s="37"/>
      <c r="TIG65" s="37"/>
      <c r="TIH65" s="37"/>
      <c r="TII65" s="37"/>
      <c r="TIJ65" s="37"/>
      <c r="TIK65" s="37"/>
      <c r="TIL65" s="37"/>
      <c r="TIM65" s="37"/>
      <c r="TIN65" s="37"/>
      <c r="TIO65" s="37"/>
      <c r="TIP65" s="37"/>
      <c r="TIQ65" s="37"/>
      <c r="TIR65" s="37"/>
      <c r="TIS65" s="37"/>
      <c r="TIT65" s="37"/>
      <c r="TIU65" s="37"/>
      <c r="TIV65" s="37"/>
      <c r="TIW65" s="37"/>
      <c r="TIX65" s="37"/>
      <c r="TIY65" s="37"/>
      <c r="TIZ65" s="37"/>
      <c r="TJA65" s="37"/>
      <c r="TJB65" s="37"/>
      <c r="TJC65" s="37"/>
      <c r="TJD65" s="37"/>
      <c r="TJE65" s="37"/>
      <c r="TJF65" s="37"/>
      <c r="TJG65" s="37"/>
      <c r="TJH65" s="37"/>
      <c r="TJI65" s="37"/>
      <c r="TJJ65" s="37"/>
      <c r="TJK65" s="37"/>
      <c r="TJL65" s="37"/>
      <c r="TJM65" s="37"/>
      <c r="TJN65" s="37"/>
      <c r="TJO65" s="37"/>
      <c r="TJP65" s="37"/>
      <c r="TJQ65" s="37"/>
      <c r="TJR65" s="37"/>
      <c r="TJS65" s="37"/>
      <c r="TJT65" s="37"/>
      <c r="TJU65" s="37"/>
      <c r="TJV65" s="37"/>
      <c r="TJW65" s="37"/>
      <c r="TJX65" s="37"/>
      <c r="TJY65" s="37"/>
      <c r="TJZ65" s="37"/>
      <c r="TKA65" s="37"/>
      <c r="TKB65" s="37"/>
      <c r="TKC65" s="37"/>
      <c r="TKD65" s="37"/>
      <c r="TKE65" s="37"/>
      <c r="TKF65" s="37"/>
      <c r="TKG65" s="37"/>
      <c r="TKH65" s="37"/>
      <c r="TKI65" s="37"/>
      <c r="TKJ65" s="37"/>
      <c r="TKK65" s="37"/>
      <c r="TKL65" s="37"/>
      <c r="TKM65" s="37"/>
      <c r="TKN65" s="37"/>
      <c r="TKO65" s="37"/>
      <c r="TKP65" s="37"/>
      <c r="TKQ65" s="37"/>
      <c r="TKR65" s="37"/>
      <c r="TKS65" s="37"/>
      <c r="TKT65" s="37"/>
      <c r="TKU65" s="37"/>
      <c r="TKV65" s="37"/>
      <c r="TKW65" s="37"/>
      <c r="TKX65" s="37"/>
      <c r="TKY65" s="37"/>
      <c r="TKZ65" s="37"/>
      <c r="TLA65" s="37"/>
      <c r="TLB65" s="37"/>
      <c r="TLC65" s="37"/>
      <c r="TLD65" s="37"/>
      <c r="TLE65" s="37"/>
      <c r="TLF65" s="37"/>
      <c r="TLG65" s="37"/>
      <c r="TLH65" s="37"/>
      <c r="TLI65" s="37"/>
      <c r="TLJ65" s="37"/>
      <c r="TLK65" s="37"/>
      <c r="TLL65" s="37"/>
      <c r="TLM65" s="37"/>
      <c r="TLN65" s="37"/>
      <c r="TLO65" s="37"/>
      <c r="TLP65" s="37"/>
      <c r="TLQ65" s="37"/>
      <c r="TLR65" s="37"/>
      <c r="TLS65" s="37"/>
      <c r="TLT65" s="37"/>
      <c r="TLU65" s="37"/>
      <c r="TLV65" s="37"/>
      <c r="TLW65" s="37"/>
      <c r="TLX65" s="37"/>
      <c r="TLY65" s="37"/>
      <c r="TLZ65" s="37"/>
      <c r="TMA65" s="37"/>
      <c r="TMB65" s="37"/>
      <c r="TMC65" s="37"/>
      <c r="TMD65" s="37"/>
      <c r="TME65" s="37"/>
      <c r="TMF65" s="37"/>
      <c r="TMG65" s="37"/>
      <c r="TMH65" s="37"/>
      <c r="TMI65" s="37"/>
      <c r="TMJ65" s="37"/>
      <c r="TMK65" s="37"/>
      <c r="TML65" s="37"/>
      <c r="TMM65" s="37"/>
      <c r="TMN65" s="37"/>
      <c r="TMO65" s="37"/>
      <c r="TMP65" s="37"/>
      <c r="TMQ65" s="37"/>
      <c r="TMR65" s="37"/>
      <c r="TMS65" s="37"/>
      <c r="TMT65" s="37"/>
      <c r="TMU65" s="37"/>
      <c r="TMV65" s="37"/>
      <c r="TMW65" s="37"/>
      <c r="TMX65" s="37"/>
      <c r="TMY65" s="37"/>
      <c r="TMZ65" s="37"/>
      <c r="TNA65" s="37"/>
      <c r="TNB65" s="37"/>
      <c r="TNC65" s="37"/>
      <c r="TND65" s="37"/>
      <c r="TNE65" s="37"/>
      <c r="TNF65" s="37"/>
      <c r="TNG65" s="37"/>
      <c r="TNH65" s="37"/>
      <c r="TNI65" s="37"/>
      <c r="TNJ65" s="37"/>
      <c r="TNK65" s="37"/>
      <c r="TNL65" s="37"/>
      <c r="TNM65" s="37"/>
      <c r="TNN65" s="37"/>
      <c r="TNO65" s="37"/>
      <c r="TNP65" s="37"/>
      <c r="TNQ65" s="37"/>
      <c r="TNR65" s="37"/>
      <c r="TNS65" s="37"/>
      <c r="TNT65" s="37"/>
      <c r="TNU65" s="37"/>
      <c r="TNV65" s="37"/>
      <c r="TNW65" s="37"/>
      <c r="TNX65" s="37"/>
      <c r="TNY65" s="37"/>
      <c r="TNZ65" s="37"/>
      <c r="TOA65" s="37"/>
      <c r="TOB65" s="37"/>
      <c r="TOC65" s="37"/>
      <c r="TOD65" s="37"/>
      <c r="TOE65" s="37"/>
      <c r="TOF65" s="37"/>
      <c r="TOG65" s="37"/>
      <c r="TOH65" s="37"/>
      <c r="TOI65" s="37"/>
      <c r="TOJ65" s="37"/>
      <c r="TOK65" s="37"/>
      <c r="TOL65" s="37"/>
      <c r="TOM65" s="37"/>
      <c r="TON65" s="37"/>
      <c r="TOO65" s="37"/>
      <c r="TOP65" s="37"/>
      <c r="TOQ65" s="37"/>
      <c r="TOR65" s="37"/>
      <c r="TOS65" s="37"/>
      <c r="TOT65" s="37"/>
      <c r="TOU65" s="37"/>
      <c r="TOV65" s="37"/>
      <c r="TOW65" s="37"/>
      <c r="TOX65" s="37"/>
      <c r="TOY65" s="37"/>
      <c r="TOZ65" s="37"/>
      <c r="TPA65" s="37"/>
      <c r="TPB65" s="37"/>
      <c r="TPC65" s="37"/>
      <c r="TPD65" s="37"/>
      <c r="TPE65" s="37"/>
      <c r="TPF65" s="37"/>
      <c r="TPG65" s="37"/>
      <c r="TPH65" s="37"/>
      <c r="TPI65" s="37"/>
      <c r="TPJ65" s="37"/>
      <c r="TPK65" s="37"/>
      <c r="TPL65" s="37"/>
      <c r="TPM65" s="37"/>
      <c r="TPN65" s="37"/>
      <c r="TPO65" s="37"/>
      <c r="TPP65" s="37"/>
      <c r="TPQ65" s="37"/>
      <c r="TPR65" s="37"/>
      <c r="TPS65" s="37"/>
      <c r="TPT65" s="37"/>
      <c r="TPU65" s="37"/>
      <c r="TPV65" s="37"/>
      <c r="TPW65" s="37"/>
      <c r="TPX65" s="37"/>
      <c r="TPY65" s="37"/>
      <c r="TPZ65" s="37"/>
      <c r="TQA65" s="37"/>
      <c r="TQB65" s="37"/>
      <c r="TQC65" s="37"/>
      <c r="TQD65" s="37"/>
      <c r="TQE65" s="37"/>
      <c r="TQF65" s="37"/>
      <c r="TQG65" s="37"/>
      <c r="TQH65" s="37"/>
      <c r="TQI65" s="37"/>
      <c r="TQJ65" s="37"/>
      <c r="TQK65" s="37"/>
      <c r="TQL65" s="37"/>
      <c r="TQM65" s="37"/>
      <c r="TQN65" s="37"/>
      <c r="TQO65" s="37"/>
      <c r="TQP65" s="37"/>
      <c r="TQQ65" s="37"/>
      <c r="TQR65" s="37"/>
      <c r="TQS65" s="37"/>
      <c r="TQT65" s="37"/>
      <c r="TQU65" s="37"/>
      <c r="TQV65" s="37"/>
      <c r="TQW65" s="37"/>
      <c r="TQX65" s="37"/>
      <c r="TQY65" s="37"/>
      <c r="TQZ65" s="37"/>
      <c r="TRA65" s="37"/>
      <c r="TRB65" s="37"/>
      <c r="TRC65" s="37"/>
      <c r="TRD65" s="37"/>
      <c r="TRE65" s="37"/>
      <c r="TRF65" s="37"/>
      <c r="TRG65" s="37"/>
      <c r="TRH65" s="37"/>
      <c r="TRI65" s="37"/>
      <c r="TRJ65" s="37"/>
      <c r="TRK65" s="37"/>
      <c r="TRL65" s="37"/>
      <c r="TRM65" s="37"/>
      <c r="TRN65" s="37"/>
      <c r="TRO65" s="37"/>
      <c r="TRP65" s="37"/>
      <c r="TRQ65" s="37"/>
      <c r="TRR65" s="37"/>
      <c r="TRS65" s="37"/>
      <c r="TRT65" s="37"/>
      <c r="TRU65" s="37"/>
      <c r="TRV65" s="37"/>
      <c r="TRW65" s="37"/>
      <c r="TRX65" s="37"/>
      <c r="TRY65" s="37"/>
      <c r="TRZ65" s="37"/>
      <c r="TSA65" s="37"/>
      <c r="TSB65" s="37"/>
      <c r="TSC65" s="37"/>
      <c r="TSD65" s="37"/>
      <c r="TSE65" s="37"/>
      <c r="TSF65" s="37"/>
      <c r="TSG65" s="37"/>
      <c r="TSH65" s="37"/>
      <c r="TSI65" s="37"/>
      <c r="TSJ65" s="37"/>
      <c r="TSK65" s="37"/>
      <c r="TSL65" s="37"/>
      <c r="TSM65" s="37"/>
      <c r="TSN65" s="37"/>
      <c r="TSO65" s="37"/>
      <c r="TSP65" s="37"/>
      <c r="TSQ65" s="37"/>
      <c r="TSR65" s="37"/>
      <c r="TSS65" s="37"/>
      <c r="TST65" s="37"/>
      <c r="TSU65" s="37"/>
      <c r="TSV65" s="37"/>
      <c r="TSW65" s="37"/>
      <c r="TSX65" s="37"/>
      <c r="TSY65" s="37"/>
      <c r="TSZ65" s="37"/>
      <c r="TTA65" s="37"/>
      <c r="TTB65" s="37"/>
      <c r="TTC65" s="37"/>
      <c r="TTD65" s="37"/>
      <c r="TTE65" s="37"/>
      <c r="TTF65" s="37"/>
      <c r="TTG65" s="37"/>
      <c r="TTH65" s="37"/>
      <c r="TTI65" s="37"/>
      <c r="TTJ65" s="37"/>
      <c r="TTK65" s="37"/>
      <c r="TTL65" s="37"/>
      <c r="TTM65" s="37"/>
      <c r="TTN65" s="37"/>
      <c r="TTO65" s="37"/>
      <c r="TTP65" s="37"/>
      <c r="TTQ65" s="37"/>
      <c r="TTR65" s="37"/>
      <c r="TTS65" s="37"/>
      <c r="TTT65" s="37"/>
      <c r="TTU65" s="37"/>
      <c r="TTV65" s="37"/>
      <c r="TTW65" s="37"/>
      <c r="TTX65" s="37"/>
      <c r="TTY65" s="37"/>
      <c r="TTZ65" s="37"/>
      <c r="TUA65" s="37"/>
      <c r="TUB65" s="37"/>
      <c r="TUC65" s="37"/>
      <c r="TUD65" s="37"/>
      <c r="TUE65" s="37"/>
      <c r="TUF65" s="37"/>
      <c r="TUG65" s="37"/>
      <c r="TUH65" s="37"/>
      <c r="TUI65" s="37"/>
      <c r="TUJ65" s="37"/>
      <c r="TUK65" s="37"/>
      <c r="TUL65" s="37"/>
      <c r="TUM65" s="37"/>
      <c r="TUN65" s="37"/>
      <c r="TUO65" s="37"/>
      <c r="TUP65" s="37"/>
      <c r="TUQ65" s="37"/>
      <c r="TUR65" s="37"/>
      <c r="TUS65" s="37"/>
      <c r="TUT65" s="37"/>
      <c r="TUU65" s="37"/>
      <c r="TUV65" s="37"/>
      <c r="TUW65" s="37"/>
      <c r="TUX65" s="37"/>
      <c r="TUY65" s="37"/>
      <c r="TUZ65" s="37"/>
      <c r="TVA65" s="37"/>
      <c r="TVB65" s="37"/>
      <c r="TVC65" s="37"/>
      <c r="TVD65" s="37"/>
      <c r="TVE65" s="37"/>
      <c r="TVF65" s="37"/>
      <c r="TVG65" s="37"/>
      <c r="TVH65" s="37"/>
      <c r="TVI65" s="37"/>
      <c r="TVJ65" s="37"/>
      <c r="TVK65" s="37"/>
      <c r="TVL65" s="37"/>
      <c r="TVM65" s="37"/>
      <c r="TVN65" s="37"/>
      <c r="TVO65" s="37"/>
      <c r="TVP65" s="37"/>
      <c r="TVQ65" s="37"/>
      <c r="TVR65" s="37"/>
      <c r="TVS65" s="37"/>
      <c r="TVT65" s="37"/>
      <c r="TVU65" s="37"/>
      <c r="TVV65" s="37"/>
      <c r="TVW65" s="37"/>
      <c r="TVX65" s="37"/>
      <c r="TVY65" s="37"/>
      <c r="TVZ65" s="37"/>
      <c r="TWA65" s="37"/>
      <c r="TWB65" s="37"/>
      <c r="TWC65" s="37"/>
      <c r="TWD65" s="37"/>
      <c r="TWE65" s="37"/>
      <c r="TWF65" s="37"/>
      <c r="TWG65" s="37"/>
      <c r="TWH65" s="37"/>
      <c r="TWI65" s="37"/>
      <c r="TWJ65" s="37"/>
      <c r="TWK65" s="37"/>
      <c r="TWL65" s="37"/>
      <c r="TWM65" s="37"/>
      <c r="TWN65" s="37"/>
      <c r="TWO65" s="37"/>
      <c r="TWP65" s="37"/>
      <c r="TWQ65" s="37"/>
      <c r="TWR65" s="37"/>
      <c r="TWS65" s="37"/>
      <c r="TWT65" s="37"/>
      <c r="TWU65" s="37"/>
      <c r="TWV65" s="37"/>
      <c r="TWW65" s="37"/>
      <c r="TWX65" s="37"/>
      <c r="TWY65" s="37"/>
      <c r="TWZ65" s="37"/>
      <c r="TXA65" s="37"/>
      <c r="TXB65" s="37"/>
      <c r="TXC65" s="37"/>
      <c r="TXD65" s="37"/>
      <c r="TXE65" s="37"/>
      <c r="TXF65" s="37"/>
      <c r="TXG65" s="37"/>
      <c r="TXH65" s="37"/>
      <c r="TXI65" s="37"/>
      <c r="TXJ65" s="37"/>
      <c r="TXK65" s="37"/>
      <c r="TXL65" s="37"/>
      <c r="TXM65" s="37"/>
      <c r="TXN65" s="37"/>
      <c r="TXO65" s="37"/>
      <c r="TXP65" s="37"/>
      <c r="TXQ65" s="37"/>
      <c r="TXR65" s="37"/>
      <c r="TXS65" s="37"/>
      <c r="TXT65" s="37"/>
      <c r="TXU65" s="37"/>
      <c r="TXV65" s="37"/>
      <c r="TXW65" s="37"/>
      <c r="TXX65" s="37"/>
      <c r="TXY65" s="37"/>
      <c r="TXZ65" s="37"/>
      <c r="TYA65" s="37"/>
      <c r="TYB65" s="37"/>
      <c r="TYC65" s="37"/>
      <c r="TYD65" s="37"/>
      <c r="TYE65" s="37"/>
      <c r="TYF65" s="37"/>
      <c r="TYG65" s="37"/>
      <c r="TYH65" s="37"/>
      <c r="TYI65" s="37"/>
      <c r="TYJ65" s="37"/>
      <c r="TYK65" s="37"/>
      <c r="TYL65" s="37"/>
      <c r="TYM65" s="37"/>
      <c r="TYN65" s="37"/>
      <c r="TYO65" s="37"/>
      <c r="TYP65" s="37"/>
      <c r="TYQ65" s="37"/>
      <c r="TYR65" s="37"/>
      <c r="TYS65" s="37"/>
      <c r="TYT65" s="37"/>
      <c r="TYU65" s="37"/>
      <c r="TYV65" s="37"/>
      <c r="TYW65" s="37"/>
      <c r="TYX65" s="37"/>
      <c r="TYY65" s="37"/>
      <c r="TYZ65" s="37"/>
      <c r="TZA65" s="37"/>
      <c r="TZB65" s="37"/>
      <c r="TZC65" s="37"/>
      <c r="TZD65" s="37"/>
      <c r="TZE65" s="37"/>
      <c r="TZF65" s="37"/>
      <c r="TZG65" s="37"/>
      <c r="TZH65" s="37"/>
      <c r="TZI65" s="37"/>
      <c r="TZJ65" s="37"/>
      <c r="TZK65" s="37"/>
      <c r="TZL65" s="37"/>
      <c r="TZM65" s="37"/>
      <c r="TZN65" s="37"/>
      <c r="TZO65" s="37"/>
      <c r="TZP65" s="37"/>
      <c r="TZQ65" s="37"/>
      <c r="TZR65" s="37"/>
      <c r="TZS65" s="37"/>
      <c r="TZT65" s="37"/>
      <c r="TZU65" s="37"/>
      <c r="TZV65" s="37"/>
      <c r="TZW65" s="37"/>
      <c r="TZX65" s="37"/>
      <c r="TZY65" s="37"/>
      <c r="TZZ65" s="37"/>
      <c r="UAA65" s="37"/>
      <c r="UAB65" s="37"/>
      <c r="UAC65" s="37"/>
      <c r="UAD65" s="37"/>
      <c r="UAE65" s="37"/>
      <c r="UAF65" s="37"/>
      <c r="UAG65" s="37"/>
      <c r="UAH65" s="37"/>
      <c r="UAI65" s="37"/>
      <c r="UAJ65" s="37"/>
      <c r="UAK65" s="37"/>
      <c r="UAL65" s="37"/>
      <c r="UAM65" s="37"/>
      <c r="UAN65" s="37"/>
      <c r="UAO65" s="37"/>
      <c r="UAP65" s="37"/>
      <c r="UAQ65" s="37"/>
      <c r="UAR65" s="37"/>
      <c r="UAS65" s="37"/>
      <c r="UAT65" s="37"/>
      <c r="UAU65" s="37"/>
      <c r="UAV65" s="37"/>
      <c r="UAW65" s="37"/>
      <c r="UAX65" s="37"/>
      <c r="UAY65" s="37"/>
      <c r="UAZ65" s="37"/>
      <c r="UBA65" s="37"/>
      <c r="UBB65" s="37"/>
      <c r="UBC65" s="37"/>
      <c r="UBD65" s="37"/>
      <c r="UBE65" s="37"/>
      <c r="UBF65" s="37"/>
      <c r="UBG65" s="37"/>
      <c r="UBH65" s="37"/>
      <c r="UBI65" s="37"/>
      <c r="UBJ65" s="37"/>
      <c r="UBK65" s="37"/>
      <c r="UBL65" s="37"/>
      <c r="UBM65" s="37"/>
      <c r="UBN65" s="37"/>
      <c r="UBO65" s="37"/>
      <c r="UBP65" s="37"/>
      <c r="UBQ65" s="37"/>
      <c r="UBR65" s="37"/>
      <c r="UBS65" s="37"/>
      <c r="UBT65" s="37"/>
      <c r="UBU65" s="37"/>
      <c r="UBV65" s="37"/>
      <c r="UBW65" s="37"/>
      <c r="UBX65" s="37"/>
      <c r="UBY65" s="37"/>
      <c r="UBZ65" s="37"/>
      <c r="UCA65" s="37"/>
      <c r="UCB65" s="37"/>
      <c r="UCC65" s="37"/>
      <c r="UCD65" s="37"/>
      <c r="UCE65" s="37"/>
      <c r="UCF65" s="37"/>
      <c r="UCG65" s="37"/>
      <c r="UCH65" s="37"/>
      <c r="UCI65" s="37"/>
      <c r="UCJ65" s="37"/>
      <c r="UCK65" s="37"/>
      <c r="UCL65" s="37"/>
      <c r="UCM65" s="37"/>
      <c r="UCN65" s="37"/>
      <c r="UCO65" s="37"/>
      <c r="UCP65" s="37"/>
      <c r="UCQ65" s="37"/>
      <c r="UCR65" s="37"/>
      <c r="UCS65" s="37"/>
      <c r="UCT65" s="37"/>
      <c r="UCU65" s="37"/>
      <c r="UCV65" s="37"/>
      <c r="UCW65" s="37"/>
      <c r="UCX65" s="37"/>
      <c r="UCY65" s="37"/>
      <c r="UCZ65" s="37"/>
      <c r="UDA65" s="37"/>
      <c r="UDB65" s="37"/>
      <c r="UDC65" s="37"/>
      <c r="UDD65" s="37"/>
      <c r="UDE65" s="37"/>
      <c r="UDF65" s="37"/>
      <c r="UDG65" s="37"/>
      <c r="UDH65" s="37"/>
      <c r="UDI65" s="37"/>
      <c r="UDJ65" s="37"/>
      <c r="UDK65" s="37"/>
      <c r="UDL65" s="37"/>
      <c r="UDM65" s="37"/>
      <c r="UDN65" s="37"/>
      <c r="UDO65" s="37"/>
      <c r="UDP65" s="37"/>
      <c r="UDQ65" s="37"/>
      <c r="UDR65" s="37"/>
      <c r="UDS65" s="37"/>
      <c r="UDT65" s="37"/>
      <c r="UDU65" s="37"/>
      <c r="UDV65" s="37"/>
      <c r="UDW65" s="37"/>
      <c r="UDX65" s="37"/>
      <c r="UDY65" s="37"/>
      <c r="UDZ65" s="37"/>
      <c r="UEA65" s="37"/>
      <c r="UEB65" s="37"/>
      <c r="UEC65" s="37"/>
      <c r="UED65" s="37"/>
      <c r="UEE65" s="37"/>
      <c r="UEF65" s="37"/>
      <c r="UEG65" s="37"/>
      <c r="UEH65" s="37"/>
      <c r="UEI65" s="37"/>
      <c r="UEJ65" s="37"/>
      <c r="UEK65" s="37"/>
      <c r="UEL65" s="37"/>
      <c r="UEM65" s="37"/>
      <c r="UEN65" s="37"/>
      <c r="UEO65" s="37"/>
      <c r="UEP65" s="37"/>
      <c r="UEQ65" s="37"/>
      <c r="UER65" s="37"/>
      <c r="UES65" s="37"/>
      <c r="UET65" s="37"/>
      <c r="UEU65" s="37"/>
      <c r="UEV65" s="37"/>
      <c r="UEW65" s="37"/>
      <c r="UEX65" s="37"/>
      <c r="UEY65" s="37"/>
      <c r="UEZ65" s="37"/>
      <c r="UFA65" s="37"/>
      <c r="UFB65" s="37"/>
      <c r="UFC65" s="37"/>
      <c r="UFD65" s="37"/>
      <c r="UFE65" s="37"/>
      <c r="UFF65" s="37"/>
      <c r="UFG65" s="37"/>
      <c r="UFH65" s="37"/>
      <c r="UFI65" s="37"/>
      <c r="UFJ65" s="37"/>
      <c r="UFK65" s="37"/>
      <c r="UFL65" s="37"/>
      <c r="UFM65" s="37"/>
      <c r="UFN65" s="37"/>
      <c r="UFO65" s="37"/>
      <c r="UFP65" s="37"/>
      <c r="UFQ65" s="37"/>
      <c r="UFR65" s="37"/>
      <c r="UFS65" s="37"/>
      <c r="UFT65" s="37"/>
      <c r="UFU65" s="37"/>
      <c r="UFV65" s="37"/>
      <c r="UFW65" s="37"/>
      <c r="UFX65" s="37"/>
      <c r="UFY65" s="37"/>
      <c r="UFZ65" s="37"/>
      <c r="UGA65" s="37"/>
      <c r="UGB65" s="37"/>
      <c r="UGC65" s="37"/>
      <c r="UGD65" s="37"/>
      <c r="UGE65" s="37"/>
      <c r="UGF65" s="37"/>
      <c r="UGG65" s="37"/>
      <c r="UGH65" s="37"/>
      <c r="UGI65" s="37"/>
      <c r="UGJ65" s="37"/>
      <c r="UGK65" s="37"/>
      <c r="UGL65" s="37"/>
      <c r="UGM65" s="37"/>
      <c r="UGN65" s="37"/>
      <c r="UGO65" s="37"/>
      <c r="UGP65" s="37"/>
      <c r="UGQ65" s="37"/>
      <c r="UGR65" s="37"/>
      <c r="UGS65" s="37"/>
      <c r="UGT65" s="37"/>
      <c r="UGU65" s="37"/>
      <c r="UGV65" s="37"/>
      <c r="UGW65" s="37"/>
      <c r="UGX65" s="37"/>
      <c r="UGY65" s="37"/>
      <c r="UGZ65" s="37"/>
      <c r="UHA65" s="37"/>
      <c r="UHB65" s="37"/>
      <c r="UHC65" s="37"/>
      <c r="UHD65" s="37"/>
      <c r="UHE65" s="37"/>
      <c r="UHF65" s="37"/>
      <c r="UHG65" s="37"/>
      <c r="UHH65" s="37"/>
      <c r="UHI65" s="37"/>
      <c r="UHJ65" s="37"/>
      <c r="UHK65" s="37"/>
      <c r="UHL65" s="37"/>
      <c r="UHM65" s="37"/>
      <c r="UHN65" s="37"/>
      <c r="UHO65" s="37"/>
      <c r="UHP65" s="37"/>
      <c r="UHQ65" s="37"/>
      <c r="UHR65" s="37"/>
      <c r="UHS65" s="37"/>
      <c r="UHT65" s="37"/>
      <c r="UHU65" s="37"/>
      <c r="UHV65" s="37"/>
      <c r="UHW65" s="37"/>
      <c r="UHX65" s="37"/>
      <c r="UHY65" s="37"/>
      <c r="UHZ65" s="37"/>
      <c r="UIA65" s="37"/>
      <c r="UIB65" s="37"/>
      <c r="UIC65" s="37"/>
      <c r="UID65" s="37"/>
      <c r="UIE65" s="37"/>
      <c r="UIF65" s="37"/>
      <c r="UIG65" s="37"/>
      <c r="UIH65" s="37"/>
      <c r="UII65" s="37"/>
      <c r="UIJ65" s="37"/>
      <c r="UIK65" s="37"/>
      <c r="UIL65" s="37"/>
      <c r="UIM65" s="37"/>
      <c r="UIN65" s="37"/>
      <c r="UIO65" s="37"/>
      <c r="UIP65" s="37"/>
      <c r="UIQ65" s="37"/>
      <c r="UIR65" s="37"/>
      <c r="UIS65" s="37"/>
      <c r="UIT65" s="37"/>
      <c r="UIU65" s="37"/>
      <c r="UIV65" s="37"/>
      <c r="UIW65" s="37"/>
      <c r="UIX65" s="37"/>
      <c r="UIY65" s="37"/>
      <c r="UIZ65" s="37"/>
      <c r="UJA65" s="37"/>
      <c r="UJB65" s="37"/>
      <c r="UJC65" s="37"/>
      <c r="UJD65" s="37"/>
      <c r="UJE65" s="37"/>
      <c r="UJF65" s="37"/>
      <c r="UJG65" s="37"/>
      <c r="UJH65" s="37"/>
      <c r="UJI65" s="37"/>
      <c r="UJJ65" s="37"/>
      <c r="UJK65" s="37"/>
      <c r="UJL65" s="37"/>
      <c r="UJM65" s="37"/>
      <c r="UJN65" s="37"/>
      <c r="UJO65" s="37"/>
      <c r="UJP65" s="37"/>
      <c r="UJQ65" s="37"/>
      <c r="UJR65" s="37"/>
      <c r="UJS65" s="37"/>
      <c r="UJT65" s="37"/>
      <c r="UJU65" s="37"/>
      <c r="UJV65" s="37"/>
      <c r="UJW65" s="37"/>
      <c r="UJX65" s="37"/>
      <c r="UJY65" s="37"/>
      <c r="UJZ65" s="37"/>
      <c r="UKA65" s="37"/>
      <c r="UKB65" s="37"/>
      <c r="UKC65" s="37"/>
      <c r="UKD65" s="37"/>
      <c r="UKE65" s="37"/>
      <c r="UKF65" s="37"/>
      <c r="UKG65" s="37"/>
      <c r="UKH65" s="37"/>
      <c r="UKI65" s="37"/>
      <c r="UKJ65" s="37"/>
      <c r="UKK65" s="37"/>
      <c r="UKL65" s="37"/>
      <c r="UKM65" s="37"/>
      <c r="UKN65" s="37"/>
      <c r="UKO65" s="37"/>
      <c r="UKP65" s="37"/>
      <c r="UKQ65" s="37"/>
      <c r="UKR65" s="37"/>
      <c r="UKS65" s="37"/>
      <c r="UKT65" s="37"/>
      <c r="UKU65" s="37"/>
      <c r="UKV65" s="37"/>
      <c r="UKW65" s="37"/>
      <c r="UKX65" s="37"/>
      <c r="UKY65" s="37"/>
      <c r="UKZ65" s="37"/>
      <c r="ULA65" s="37"/>
      <c r="ULB65" s="37"/>
      <c r="ULC65" s="37"/>
      <c r="ULD65" s="37"/>
      <c r="ULE65" s="37"/>
      <c r="ULF65" s="37"/>
      <c r="ULG65" s="37"/>
      <c r="ULH65" s="37"/>
      <c r="ULI65" s="37"/>
      <c r="ULJ65" s="37"/>
      <c r="ULK65" s="37"/>
      <c r="ULL65" s="37"/>
      <c r="ULM65" s="37"/>
      <c r="ULN65" s="37"/>
      <c r="ULO65" s="37"/>
      <c r="ULP65" s="37"/>
      <c r="ULQ65" s="37"/>
      <c r="ULR65" s="37"/>
      <c r="ULS65" s="37"/>
      <c r="ULT65" s="37"/>
      <c r="ULU65" s="37"/>
      <c r="ULV65" s="37"/>
      <c r="ULW65" s="37"/>
      <c r="ULX65" s="37"/>
      <c r="ULY65" s="37"/>
      <c r="ULZ65" s="37"/>
      <c r="UMA65" s="37"/>
      <c r="UMB65" s="37"/>
      <c r="UMC65" s="37"/>
      <c r="UMD65" s="37"/>
      <c r="UME65" s="37"/>
      <c r="UMF65" s="37"/>
      <c r="UMG65" s="37"/>
      <c r="UMH65" s="37"/>
      <c r="UMI65" s="37"/>
      <c r="UMJ65" s="37"/>
      <c r="UMK65" s="37"/>
      <c r="UML65" s="37"/>
      <c r="UMM65" s="37"/>
      <c r="UMN65" s="37"/>
      <c r="UMO65" s="37"/>
      <c r="UMP65" s="37"/>
      <c r="UMQ65" s="37"/>
      <c r="UMR65" s="37"/>
      <c r="UMS65" s="37"/>
      <c r="UMT65" s="37"/>
      <c r="UMU65" s="37"/>
      <c r="UMV65" s="37"/>
      <c r="UMW65" s="37"/>
      <c r="UMX65" s="37"/>
      <c r="UMY65" s="37"/>
      <c r="UMZ65" s="37"/>
      <c r="UNA65" s="37"/>
      <c r="UNB65" s="37"/>
      <c r="UNC65" s="37"/>
      <c r="UND65" s="37"/>
      <c r="UNE65" s="37"/>
      <c r="UNF65" s="37"/>
      <c r="UNG65" s="37"/>
      <c r="UNH65" s="37"/>
      <c r="UNI65" s="37"/>
      <c r="UNJ65" s="37"/>
      <c r="UNK65" s="37"/>
      <c r="UNL65" s="37"/>
      <c r="UNM65" s="37"/>
      <c r="UNN65" s="37"/>
      <c r="UNO65" s="37"/>
      <c r="UNP65" s="37"/>
      <c r="UNQ65" s="37"/>
      <c r="UNR65" s="37"/>
      <c r="UNS65" s="37"/>
      <c r="UNT65" s="37"/>
      <c r="UNU65" s="37"/>
      <c r="UNV65" s="37"/>
      <c r="UNW65" s="37"/>
      <c r="UNX65" s="37"/>
      <c r="UNY65" s="37"/>
      <c r="UNZ65" s="37"/>
      <c r="UOA65" s="37"/>
      <c r="UOB65" s="37"/>
      <c r="UOC65" s="37"/>
      <c r="UOD65" s="37"/>
      <c r="UOE65" s="37"/>
      <c r="UOF65" s="37"/>
      <c r="UOG65" s="37"/>
      <c r="UOH65" s="37"/>
      <c r="UOI65" s="37"/>
      <c r="UOJ65" s="37"/>
      <c r="UOK65" s="37"/>
      <c r="UOL65" s="37"/>
      <c r="UOM65" s="37"/>
      <c r="UON65" s="37"/>
      <c r="UOO65" s="37"/>
      <c r="UOP65" s="37"/>
      <c r="UOQ65" s="37"/>
      <c r="UOR65" s="37"/>
      <c r="UOS65" s="37"/>
      <c r="UOT65" s="37"/>
      <c r="UOU65" s="37"/>
      <c r="UOV65" s="37"/>
      <c r="UOW65" s="37"/>
      <c r="UOX65" s="37"/>
      <c r="UOY65" s="37"/>
      <c r="UOZ65" s="37"/>
      <c r="UPA65" s="37"/>
      <c r="UPB65" s="37"/>
      <c r="UPC65" s="37"/>
      <c r="UPD65" s="37"/>
      <c r="UPE65" s="37"/>
      <c r="UPF65" s="37"/>
      <c r="UPG65" s="37"/>
      <c r="UPH65" s="37"/>
      <c r="UPI65" s="37"/>
      <c r="UPJ65" s="37"/>
      <c r="UPK65" s="37"/>
      <c r="UPL65" s="37"/>
      <c r="UPM65" s="37"/>
      <c r="UPN65" s="37"/>
      <c r="UPO65" s="37"/>
      <c r="UPP65" s="37"/>
      <c r="UPQ65" s="37"/>
      <c r="UPR65" s="37"/>
      <c r="UPS65" s="37"/>
      <c r="UPT65" s="37"/>
      <c r="UPU65" s="37"/>
      <c r="UPV65" s="37"/>
      <c r="UPW65" s="37"/>
      <c r="UPX65" s="37"/>
      <c r="UPY65" s="37"/>
      <c r="UPZ65" s="37"/>
      <c r="UQA65" s="37"/>
      <c r="UQB65" s="37"/>
      <c r="UQC65" s="37"/>
      <c r="UQD65" s="37"/>
      <c r="UQE65" s="37"/>
      <c r="UQF65" s="37"/>
      <c r="UQG65" s="37"/>
      <c r="UQH65" s="37"/>
      <c r="UQI65" s="37"/>
      <c r="UQJ65" s="37"/>
      <c r="UQK65" s="37"/>
      <c r="UQL65" s="37"/>
      <c r="UQM65" s="37"/>
      <c r="UQN65" s="37"/>
      <c r="UQO65" s="37"/>
      <c r="UQP65" s="37"/>
      <c r="UQQ65" s="37"/>
      <c r="UQR65" s="37"/>
      <c r="UQS65" s="37"/>
      <c r="UQT65" s="37"/>
      <c r="UQU65" s="37"/>
      <c r="UQV65" s="37"/>
      <c r="UQW65" s="37"/>
      <c r="UQX65" s="37"/>
      <c r="UQY65" s="37"/>
      <c r="UQZ65" s="37"/>
      <c r="URA65" s="37"/>
      <c r="URB65" s="37"/>
      <c r="URC65" s="37"/>
      <c r="URD65" s="37"/>
      <c r="URE65" s="37"/>
      <c r="URF65" s="37"/>
      <c r="URG65" s="37"/>
      <c r="URH65" s="37"/>
      <c r="URI65" s="37"/>
      <c r="URJ65" s="37"/>
      <c r="URK65" s="37"/>
      <c r="URL65" s="37"/>
      <c r="URM65" s="37"/>
      <c r="URN65" s="37"/>
      <c r="URO65" s="37"/>
      <c r="URP65" s="37"/>
      <c r="URQ65" s="37"/>
      <c r="URR65" s="37"/>
      <c r="URS65" s="37"/>
      <c r="URT65" s="37"/>
      <c r="URU65" s="37"/>
      <c r="URV65" s="37"/>
      <c r="URW65" s="37"/>
      <c r="URX65" s="37"/>
      <c r="URY65" s="37"/>
      <c r="URZ65" s="37"/>
      <c r="USA65" s="37"/>
      <c r="USB65" s="37"/>
      <c r="USC65" s="37"/>
      <c r="USD65" s="37"/>
      <c r="USE65" s="37"/>
      <c r="USF65" s="37"/>
      <c r="USG65" s="37"/>
      <c r="USH65" s="37"/>
      <c r="USI65" s="37"/>
      <c r="USJ65" s="37"/>
      <c r="USK65" s="37"/>
      <c r="USL65" s="37"/>
      <c r="USM65" s="37"/>
      <c r="USN65" s="37"/>
      <c r="USO65" s="37"/>
      <c r="USP65" s="37"/>
      <c r="USQ65" s="37"/>
      <c r="USR65" s="37"/>
      <c r="USS65" s="37"/>
      <c r="UST65" s="37"/>
      <c r="USU65" s="37"/>
      <c r="USV65" s="37"/>
      <c r="USW65" s="37"/>
      <c r="USX65" s="37"/>
      <c r="USY65" s="37"/>
      <c r="USZ65" s="37"/>
      <c r="UTA65" s="37"/>
      <c r="UTB65" s="37"/>
      <c r="UTC65" s="37"/>
      <c r="UTD65" s="37"/>
      <c r="UTE65" s="37"/>
      <c r="UTF65" s="37"/>
      <c r="UTG65" s="37"/>
      <c r="UTH65" s="37"/>
      <c r="UTI65" s="37"/>
      <c r="UTJ65" s="37"/>
      <c r="UTK65" s="37"/>
      <c r="UTL65" s="37"/>
      <c r="UTM65" s="37"/>
      <c r="UTN65" s="37"/>
      <c r="UTO65" s="37"/>
      <c r="UTP65" s="37"/>
      <c r="UTQ65" s="37"/>
      <c r="UTR65" s="37"/>
      <c r="UTS65" s="37"/>
      <c r="UTT65" s="37"/>
      <c r="UTU65" s="37"/>
      <c r="UTV65" s="37"/>
      <c r="UTW65" s="37"/>
      <c r="UTX65" s="37"/>
      <c r="UTY65" s="37"/>
      <c r="UTZ65" s="37"/>
      <c r="UUA65" s="37"/>
      <c r="UUB65" s="37"/>
      <c r="UUC65" s="37"/>
      <c r="UUD65" s="37"/>
      <c r="UUE65" s="37"/>
      <c r="UUF65" s="37"/>
      <c r="UUG65" s="37"/>
      <c r="UUH65" s="37"/>
      <c r="UUI65" s="37"/>
      <c r="UUJ65" s="37"/>
      <c r="UUK65" s="37"/>
      <c r="UUL65" s="37"/>
      <c r="UUM65" s="37"/>
      <c r="UUN65" s="37"/>
      <c r="UUO65" s="37"/>
      <c r="UUP65" s="37"/>
      <c r="UUQ65" s="37"/>
      <c r="UUR65" s="37"/>
      <c r="UUS65" s="37"/>
      <c r="UUT65" s="37"/>
      <c r="UUU65" s="37"/>
      <c r="UUV65" s="37"/>
      <c r="UUW65" s="37"/>
      <c r="UUX65" s="37"/>
      <c r="UUY65" s="37"/>
      <c r="UUZ65" s="37"/>
      <c r="UVA65" s="37"/>
      <c r="UVB65" s="37"/>
      <c r="UVC65" s="37"/>
      <c r="UVD65" s="37"/>
      <c r="UVE65" s="37"/>
      <c r="UVF65" s="37"/>
      <c r="UVG65" s="37"/>
      <c r="UVH65" s="37"/>
      <c r="UVI65" s="37"/>
      <c r="UVJ65" s="37"/>
      <c r="UVK65" s="37"/>
      <c r="UVL65" s="37"/>
      <c r="UVM65" s="37"/>
      <c r="UVN65" s="37"/>
      <c r="UVO65" s="37"/>
      <c r="UVP65" s="37"/>
      <c r="UVQ65" s="37"/>
      <c r="UVR65" s="37"/>
      <c r="UVS65" s="37"/>
      <c r="UVT65" s="37"/>
      <c r="UVU65" s="37"/>
      <c r="UVV65" s="37"/>
      <c r="UVW65" s="37"/>
      <c r="UVX65" s="37"/>
      <c r="UVY65" s="37"/>
      <c r="UVZ65" s="37"/>
      <c r="UWA65" s="37"/>
      <c r="UWB65" s="37"/>
      <c r="UWC65" s="37"/>
      <c r="UWD65" s="37"/>
      <c r="UWE65" s="37"/>
      <c r="UWF65" s="37"/>
      <c r="UWG65" s="37"/>
      <c r="UWH65" s="37"/>
      <c r="UWI65" s="37"/>
      <c r="UWJ65" s="37"/>
      <c r="UWK65" s="37"/>
      <c r="UWL65" s="37"/>
      <c r="UWM65" s="37"/>
      <c r="UWN65" s="37"/>
      <c r="UWO65" s="37"/>
      <c r="UWP65" s="37"/>
      <c r="UWQ65" s="37"/>
      <c r="UWR65" s="37"/>
      <c r="UWS65" s="37"/>
      <c r="UWT65" s="37"/>
      <c r="UWU65" s="37"/>
      <c r="UWV65" s="37"/>
      <c r="UWW65" s="37"/>
      <c r="UWX65" s="37"/>
      <c r="UWY65" s="37"/>
      <c r="UWZ65" s="37"/>
      <c r="UXA65" s="37"/>
      <c r="UXB65" s="37"/>
      <c r="UXC65" s="37"/>
      <c r="UXD65" s="37"/>
      <c r="UXE65" s="37"/>
      <c r="UXF65" s="37"/>
      <c r="UXG65" s="37"/>
      <c r="UXH65" s="37"/>
      <c r="UXI65" s="37"/>
      <c r="UXJ65" s="37"/>
      <c r="UXK65" s="37"/>
      <c r="UXL65" s="37"/>
      <c r="UXM65" s="37"/>
      <c r="UXN65" s="37"/>
      <c r="UXO65" s="37"/>
      <c r="UXP65" s="37"/>
      <c r="UXQ65" s="37"/>
      <c r="UXR65" s="37"/>
      <c r="UXS65" s="37"/>
      <c r="UXT65" s="37"/>
      <c r="UXU65" s="37"/>
      <c r="UXV65" s="37"/>
      <c r="UXW65" s="37"/>
      <c r="UXX65" s="37"/>
      <c r="UXY65" s="37"/>
      <c r="UXZ65" s="37"/>
      <c r="UYA65" s="37"/>
      <c r="UYB65" s="37"/>
      <c r="UYC65" s="37"/>
      <c r="UYD65" s="37"/>
      <c r="UYE65" s="37"/>
      <c r="UYF65" s="37"/>
      <c r="UYG65" s="37"/>
      <c r="UYH65" s="37"/>
      <c r="UYI65" s="37"/>
      <c r="UYJ65" s="37"/>
      <c r="UYK65" s="37"/>
      <c r="UYL65" s="37"/>
      <c r="UYM65" s="37"/>
      <c r="UYN65" s="37"/>
      <c r="UYO65" s="37"/>
      <c r="UYP65" s="37"/>
      <c r="UYQ65" s="37"/>
      <c r="UYR65" s="37"/>
      <c r="UYS65" s="37"/>
      <c r="UYT65" s="37"/>
      <c r="UYU65" s="37"/>
      <c r="UYV65" s="37"/>
      <c r="UYW65" s="37"/>
      <c r="UYX65" s="37"/>
      <c r="UYY65" s="37"/>
      <c r="UYZ65" s="37"/>
      <c r="UZA65" s="37"/>
      <c r="UZB65" s="37"/>
      <c r="UZC65" s="37"/>
      <c r="UZD65" s="37"/>
      <c r="UZE65" s="37"/>
      <c r="UZF65" s="37"/>
      <c r="UZG65" s="37"/>
      <c r="UZH65" s="37"/>
      <c r="UZI65" s="37"/>
      <c r="UZJ65" s="37"/>
      <c r="UZK65" s="37"/>
      <c r="UZL65" s="37"/>
      <c r="UZM65" s="37"/>
      <c r="UZN65" s="37"/>
      <c r="UZO65" s="37"/>
      <c r="UZP65" s="37"/>
      <c r="UZQ65" s="37"/>
      <c r="UZR65" s="37"/>
      <c r="UZS65" s="37"/>
      <c r="UZT65" s="37"/>
      <c r="UZU65" s="37"/>
      <c r="UZV65" s="37"/>
      <c r="UZW65" s="37"/>
      <c r="UZX65" s="37"/>
      <c r="UZY65" s="37"/>
      <c r="UZZ65" s="37"/>
      <c r="VAA65" s="37"/>
      <c r="VAB65" s="37"/>
      <c r="VAC65" s="37"/>
      <c r="VAD65" s="37"/>
      <c r="VAE65" s="37"/>
      <c r="VAF65" s="37"/>
      <c r="VAG65" s="37"/>
      <c r="VAH65" s="37"/>
      <c r="VAI65" s="37"/>
      <c r="VAJ65" s="37"/>
      <c r="VAK65" s="37"/>
      <c r="VAL65" s="37"/>
      <c r="VAM65" s="37"/>
      <c r="VAN65" s="37"/>
      <c r="VAO65" s="37"/>
      <c r="VAP65" s="37"/>
      <c r="VAQ65" s="37"/>
      <c r="VAR65" s="37"/>
      <c r="VAS65" s="37"/>
      <c r="VAT65" s="37"/>
      <c r="VAU65" s="37"/>
      <c r="VAV65" s="37"/>
      <c r="VAW65" s="37"/>
      <c r="VAX65" s="37"/>
      <c r="VAY65" s="37"/>
      <c r="VAZ65" s="37"/>
      <c r="VBA65" s="37"/>
      <c r="VBB65" s="37"/>
      <c r="VBC65" s="37"/>
      <c r="VBD65" s="37"/>
      <c r="VBE65" s="37"/>
      <c r="VBF65" s="37"/>
      <c r="VBG65" s="37"/>
      <c r="VBH65" s="37"/>
      <c r="VBI65" s="37"/>
      <c r="VBJ65" s="37"/>
      <c r="VBK65" s="37"/>
      <c r="VBL65" s="37"/>
      <c r="VBM65" s="37"/>
      <c r="VBN65" s="37"/>
      <c r="VBO65" s="37"/>
      <c r="VBP65" s="37"/>
      <c r="VBQ65" s="37"/>
      <c r="VBR65" s="37"/>
      <c r="VBS65" s="37"/>
      <c r="VBT65" s="37"/>
      <c r="VBU65" s="37"/>
      <c r="VBV65" s="37"/>
      <c r="VBW65" s="37"/>
      <c r="VBX65" s="37"/>
      <c r="VBY65" s="37"/>
      <c r="VBZ65" s="37"/>
      <c r="VCA65" s="37"/>
      <c r="VCB65" s="37"/>
      <c r="VCC65" s="37"/>
      <c r="VCD65" s="37"/>
      <c r="VCE65" s="37"/>
      <c r="VCF65" s="37"/>
      <c r="VCG65" s="37"/>
      <c r="VCH65" s="37"/>
      <c r="VCI65" s="37"/>
      <c r="VCJ65" s="37"/>
      <c r="VCK65" s="37"/>
      <c r="VCL65" s="37"/>
      <c r="VCM65" s="37"/>
      <c r="VCN65" s="37"/>
      <c r="VCO65" s="37"/>
      <c r="VCP65" s="37"/>
      <c r="VCQ65" s="37"/>
      <c r="VCR65" s="37"/>
      <c r="VCS65" s="37"/>
      <c r="VCT65" s="37"/>
      <c r="VCU65" s="37"/>
      <c r="VCV65" s="37"/>
      <c r="VCW65" s="37"/>
      <c r="VCX65" s="37"/>
      <c r="VCY65" s="37"/>
      <c r="VCZ65" s="37"/>
      <c r="VDA65" s="37"/>
      <c r="VDB65" s="37"/>
      <c r="VDC65" s="37"/>
      <c r="VDD65" s="37"/>
      <c r="VDE65" s="37"/>
      <c r="VDF65" s="37"/>
      <c r="VDG65" s="37"/>
      <c r="VDH65" s="37"/>
      <c r="VDI65" s="37"/>
      <c r="VDJ65" s="37"/>
      <c r="VDK65" s="37"/>
      <c r="VDL65" s="37"/>
      <c r="VDM65" s="37"/>
      <c r="VDN65" s="37"/>
      <c r="VDO65" s="37"/>
      <c r="VDP65" s="37"/>
      <c r="VDQ65" s="37"/>
      <c r="VDR65" s="37"/>
      <c r="VDS65" s="37"/>
      <c r="VDT65" s="37"/>
      <c r="VDU65" s="37"/>
      <c r="VDV65" s="37"/>
      <c r="VDW65" s="37"/>
      <c r="VDX65" s="37"/>
      <c r="VDY65" s="37"/>
      <c r="VDZ65" s="37"/>
      <c r="VEA65" s="37"/>
      <c r="VEB65" s="37"/>
      <c r="VEC65" s="37"/>
      <c r="VED65" s="37"/>
      <c r="VEE65" s="37"/>
      <c r="VEF65" s="37"/>
      <c r="VEG65" s="37"/>
      <c r="VEH65" s="37"/>
      <c r="VEI65" s="37"/>
      <c r="VEJ65" s="37"/>
      <c r="VEK65" s="37"/>
      <c r="VEL65" s="37"/>
      <c r="VEM65" s="37"/>
      <c r="VEN65" s="37"/>
      <c r="VEO65" s="37"/>
      <c r="VEP65" s="37"/>
      <c r="VEQ65" s="37"/>
      <c r="VER65" s="37"/>
      <c r="VES65" s="37"/>
      <c r="VET65" s="37"/>
      <c r="VEU65" s="37"/>
      <c r="VEV65" s="37"/>
      <c r="VEW65" s="37"/>
      <c r="VEX65" s="37"/>
      <c r="VEY65" s="37"/>
      <c r="VEZ65" s="37"/>
      <c r="VFA65" s="37"/>
      <c r="VFB65" s="37"/>
      <c r="VFC65" s="37"/>
      <c r="VFD65" s="37"/>
      <c r="VFE65" s="37"/>
      <c r="VFF65" s="37"/>
      <c r="VFG65" s="37"/>
      <c r="VFH65" s="37"/>
      <c r="VFI65" s="37"/>
      <c r="VFJ65" s="37"/>
      <c r="VFK65" s="37"/>
      <c r="VFL65" s="37"/>
      <c r="VFM65" s="37"/>
      <c r="VFN65" s="37"/>
      <c r="VFO65" s="37"/>
      <c r="VFP65" s="37"/>
      <c r="VFQ65" s="37"/>
      <c r="VFR65" s="37"/>
      <c r="VFS65" s="37"/>
      <c r="VFT65" s="37"/>
      <c r="VFU65" s="37"/>
      <c r="VFV65" s="37"/>
      <c r="VFW65" s="37"/>
      <c r="VFX65" s="37"/>
      <c r="VFY65" s="37"/>
      <c r="VFZ65" s="37"/>
      <c r="VGA65" s="37"/>
      <c r="VGB65" s="37"/>
      <c r="VGC65" s="37"/>
      <c r="VGD65" s="37"/>
      <c r="VGE65" s="37"/>
      <c r="VGF65" s="37"/>
      <c r="VGG65" s="37"/>
      <c r="VGH65" s="37"/>
      <c r="VGI65" s="37"/>
      <c r="VGJ65" s="37"/>
      <c r="VGK65" s="37"/>
      <c r="VGL65" s="37"/>
      <c r="VGM65" s="37"/>
      <c r="VGN65" s="37"/>
      <c r="VGO65" s="37"/>
      <c r="VGP65" s="37"/>
      <c r="VGQ65" s="37"/>
      <c r="VGR65" s="37"/>
      <c r="VGS65" s="37"/>
      <c r="VGT65" s="37"/>
      <c r="VGU65" s="37"/>
      <c r="VGV65" s="37"/>
      <c r="VGW65" s="37"/>
      <c r="VGX65" s="37"/>
      <c r="VGY65" s="37"/>
      <c r="VGZ65" s="37"/>
      <c r="VHA65" s="37"/>
      <c r="VHB65" s="37"/>
      <c r="VHC65" s="37"/>
      <c r="VHD65" s="37"/>
      <c r="VHE65" s="37"/>
      <c r="VHF65" s="37"/>
      <c r="VHG65" s="37"/>
      <c r="VHH65" s="37"/>
      <c r="VHI65" s="37"/>
      <c r="VHJ65" s="37"/>
      <c r="VHK65" s="37"/>
      <c r="VHL65" s="37"/>
      <c r="VHM65" s="37"/>
      <c r="VHN65" s="37"/>
      <c r="VHO65" s="37"/>
      <c r="VHP65" s="37"/>
      <c r="VHQ65" s="37"/>
      <c r="VHR65" s="37"/>
      <c r="VHS65" s="37"/>
      <c r="VHT65" s="37"/>
      <c r="VHU65" s="37"/>
      <c r="VHV65" s="37"/>
      <c r="VHW65" s="37"/>
      <c r="VHX65" s="37"/>
      <c r="VHY65" s="37"/>
      <c r="VHZ65" s="37"/>
      <c r="VIA65" s="37"/>
      <c r="VIB65" s="37"/>
      <c r="VIC65" s="37"/>
      <c r="VID65" s="37"/>
      <c r="VIE65" s="37"/>
      <c r="VIF65" s="37"/>
      <c r="VIG65" s="37"/>
      <c r="VIH65" s="37"/>
      <c r="VII65" s="37"/>
      <c r="VIJ65" s="37"/>
      <c r="VIK65" s="37"/>
      <c r="VIL65" s="37"/>
      <c r="VIM65" s="37"/>
      <c r="VIN65" s="37"/>
      <c r="VIO65" s="37"/>
      <c r="VIP65" s="37"/>
      <c r="VIQ65" s="37"/>
      <c r="VIR65" s="37"/>
      <c r="VIS65" s="37"/>
      <c r="VIT65" s="37"/>
      <c r="VIU65" s="37"/>
      <c r="VIV65" s="37"/>
      <c r="VIW65" s="37"/>
      <c r="VIX65" s="37"/>
      <c r="VIY65" s="37"/>
      <c r="VIZ65" s="37"/>
      <c r="VJA65" s="37"/>
      <c r="VJB65" s="37"/>
      <c r="VJC65" s="37"/>
      <c r="VJD65" s="37"/>
      <c r="VJE65" s="37"/>
      <c r="VJF65" s="37"/>
      <c r="VJG65" s="37"/>
      <c r="VJH65" s="37"/>
      <c r="VJI65" s="37"/>
      <c r="VJJ65" s="37"/>
      <c r="VJK65" s="37"/>
      <c r="VJL65" s="37"/>
      <c r="VJM65" s="37"/>
      <c r="VJN65" s="37"/>
      <c r="VJO65" s="37"/>
      <c r="VJP65" s="37"/>
      <c r="VJQ65" s="37"/>
      <c r="VJR65" s="37"/>
      <c r="VJS65" s="37"/>
      <c r="VJT65" s="37"/>
      <c r="VJU65" s="37"/>
      <c r="VJV65" s="37"/>
      <c r="VJW65" s="37"/>
      <c r="VJX65" s="37"/>
      <c r="VJY65" s="37"/>
      <c r="VJZ65" s="37"/>
      <c r="VKA65" s="37"/>
      <c r="VKB65" s="37"/>
      <c r="VKC65" s="37"/>
      <c r="VKD65" s="37"/>
      <c r="VKE65" s="37"/>
      <c r="VKF65" s="37"/>
      <c r="VKG65" s="37"/>
      <c r="VKH65" s="37"/>
      <c r="VKI65" s="37"/>
      <c r="VKJ65" s="37"/>
      <c r="VKK65" s="37"/>
      <c r="VKL65" s="37"/>
      <c r="VKM65" s="37"/>
      <c r="VKN65" s="37"/>
      <c r="VKO65" s="37"/>
      <c r="VKP65" s="37"/>
      <c r="VKQ65" s="37"/>
      <c r="VKR65" s="37"/>
      <c r="VKS65" s="37"/>
      <c r="VKT65" s="37"/>
      <c r="VKU65" s="37"/>
      <c r="VKV65" s="37"/>
      <c r="VKW65" s="37"/>
      <c r="VKX65" s="37"/>
      <c r="VKY65" s="37"/>
      <c r="VKZ65" s="37"/>
      <c r="VLA65" s="37"/>
      <c r="VLB65" s="37"/>
      <c r="VLC65" s="37"/>
      <c r="VLD65" s="37"/>
      <c r="VLE65" s="37"/>
      <c r="VLF65" s="37"/>
      <c r="VLG65" s="37"/>
      <c r="VLH65" s="37"/>
      <c r="VLI65" s="37"/>
      <c r="VLJ65" s="37"/>
      <c r="VLK65" s="37"/>
      <c r="VLL65" s="37"/>
      <c r="VLM65" s="37"/>
      <c r="VLN65" s="37"/>
      <c r="VLO65" s="37"/>
      <c r="VLP65" s="37"/>
      <c r="VLQ65" s="37"/>
      <c r="VLR65" s="37"/>
      <c r="VLS65" s="37"/>
      <c r="VLT65" s="37"/>
      <c r="VLU65" s="37"/>
      <c r="VLV65" s="37"/>
      <c r="VLW65" s="37"/>
      <c r="VLX65" s="37"/>
      <c r="VLY65" s="37"/>
      <c r="VLZ65" s="37"/>
      <c r="VMA65" s="37"/>
      <c r="VMB65" s="37"/>
      <c r="VMC65" s="37"/>
      <c r="VMD65" s="37"/>
      <c r="VME65" s="37"/>
      <c r="VMF65" s="37"/>
      <c r="VMG65" s="37"/>
      <c r="VMH65" s="37"/>
      <c r="VMI65" s="37"/>
      <c r="VMJ65" s="37"/>
      <c r="VMK65" s="37"/>
      <c r="VML65" s="37"/>
      <c r="VMM65" s="37"/>
      <c r="VMN65" s="37"/>
      <c r="VMO65" s="37"/>
      <c r="VMP65" s="37"/>
      <c r="VMQ65" s="37"/>
      <c r="VMR65" s="37"/>
      <c r="VMS65" s="37"/>
      <c r="VMT65" s="37"/>
      <c r="VMU65" s="37"/>
      <c r="VMV65" s="37"/>
      <c r="VMW65" s="37"/>
      <c r="VMX65" s="37"/>
      <c r="VMY65" s="37"/>
      <c r="VMZ65" s="37"/>
      <c r="VNA65" s="37"/>
      <c r="VNB65" s="37"/>
      <c r="VNC65" s="37"/>
      <c r="VND65" s="37"/>
      <c r="VNE65" s="37"/>
      <c r="VNF65" s="37"/>
      <c r="VNG65" s="37"/>
      <c r="VNH65" s="37"/>
      <c r="VNI65" s="37"/>
      <c r="VNJ65" s="37"/>
      <c r="VNK65" s="37"/>
      <c r="VNL65" s="37"/>
      <c r="VNM65" s="37"/>
      <c r="VNN65" s="37"/>
      <c r="VNO65" s="37"/>
      <c r="VNP65" s="37"/>
      <c r="VNQ65" s="37"/>
      <c r="VNR65" s="37"/>
      <c r="VNS65" s="37"/>
      <c r="VNT65" s="37"/>
      <c r="VNU65" s="37"/>
      <c r="VNV65" s="37"/>
      <c r="VNW65" s="37"/>
      <c r="VNX65" s="37"/>
      <c r="VNY65" s="37"/>
      <c r="VNZ65" s="37"/>
      <c r="VOA65" s="37"/>
      <c r="VOB65" s="37"/>
      <c r="VOC65" s="37"/>
      <c r="VOD65" s="37"/>
      <c r="VOE65" s="37"/>
      <c r="VOF65" s="37"/>
      <c r="VOG65" s="37"/>
      <c r="VOH65" s="37"/>
      <c r="VOI65" s="37"/>
      <c r="VOJ65" s="37"/>
      <c r="VOK65" s="37"/>
      <c r="VOL65" s="37"/>
      <c r="VOM65" s="37"/>
      <c r="VON65" s="37"/>
      <c r="VOO65" s="37"/>
      <c r="VOP65" s="37"/>
      <c r="VOQ65" s="37"/>
      <c r="VOR65" s="37"/>
      <c r="VOS65" s="37"/>
      <c r="VOT65" s="37"/>
      <c r="VOU65" s="37"/>
      <c r="VOV65" s="37"/>
      <c r="VOW65" s="37"/>
      <c r="VOX65" s="37"/>
      <c r="VOY65" s="37"/>
      <c r="VOZ65" s="37"/>
      <c r="VPA65" s="37"/>
      <c r="VPB65" s="37"/>
      <c r="VPC65" s="37"/>
      <c r="VPD65" s="37"/>
      <c r="VPE65" s="37"/>
      <c r="VPF65" s="37"/>
      <c r="VPG65" s="37"/>
      <c r="VPH65" s="37"/>
      <c r="VPI65" s="37"/>
      <c r="VPJ65" s="37"/>
      <c r="VPK65" s="37"/>
      <c r="VPL65" s="37"/>
      <c r="VPM65" s="37"/>
      <c r="VPN65" s="37"/>
      <c r="VPO65" s="37"/>
      <c r="VPP65" s="37"/>
      <c r="VPQ65" s="37"/>
      <c r="VPR65" s="37"/>
      <c r="VPS65" s="37"/>
      <c r="VPT65" s="37"/>
      <c r="VPU65" s="37"/>
      <c r="VPV65" s="37"/>
      <c r="VPW65" s="37"/>
      <c r="VPX65" s="37"/>
      <c r="VPY65" s="37"/>
      <c r="VPZ65" s="37"/>
      <c r="VQA65" s="37"/>
      <c r="VQB65" s="37"/>
      <c r="VQC65" s="37"/>
      <c r="VQD65" s="37"/>
      <c r="VQE65" s="37"/>
      <c r="VQF65" s="37"/>
      <c r="VQG65" s="37"/>
      <c r="VQH65" s="37"/>
      <c r="VQI65" s="37"/>
      <c r="VQJ65" s="37"/>
      <c r="VQK65" s="37"/>
      <c r="VQL65" s="37"/>
      <c r="VQM65" s="37"/>
      <c r="VQN65" s="37"/>
      <c r="VQO65" s="37"/>
      <c r="VQP65" s="37"/>
      <c r="VQQ65" s="37"/>
      <c r="VQR65" s="37"/>
      <c r="VQS65" s="37"/>
      <c r="VQT65" s="37"/>
      <c r="VQU65" s="37"/>
      <c r="VQV65" s="37"/>
      <c r="VQW65" s="37"/>
      <c r="VQX65" s="37"/>
      <c r="VQY65" s="37"/>
      <c r="VQZ65" s="37"/>
      <c r="VRA65" s="37"/>
      <c r="VRB65" s="37"/>
      <c r="VRC65" s="37"/>
      <c r="VRD65" s="37"/>
      <c r="VRE65" s="37"/>
      <c r="VRF65" s="37"/>
      <c r="VRG65" s="37"/>
      <c r="VRH65" s="37"/>
      <c r="VRI65" s="37"/>
      <c r="VRJ65" s="37"/>
      <c r="VRK65" s="37"/>
      <c r="VRL65" s="37"/>
      <c r="VRM65" s="37"/>
      <c r="VRN65" s="37"/>
      <c r="VRO65" s="37"/>
      <c r="VRP65" s="37"/>
      <c r="VRQ65" s="37"/>
      <c r="VRR65" s="37"/>
      <c r="VRS65" s="37"/>
      <c r="VRT65" s="37"/>
      <c r="VRU65" s="37"/>
      <c r="VRV65" s="37"/>
      <c r="VRW65" s="37"/>
      <c r="VRX65" s="37"/>
      <c r="VRY65" s="37"/>
      <c r="VRZ65" s="37"/>
      <c r="VSA65" s="37"/>
      <c r="VSB65" s="37"/>
      <c r="VSC65" s="37"/>
      <c r="VSD65" s="37"/>
      <c r="VSE65" s="37"/>
      <c r="VSF65" s="37"/>
      <c r="VSG65" s="37"/>
      <c r="VSH65" s="37"/>
      <c r="VSI65" s="37"/>
      <c r="VSJ65" s="37"/>
      <c r="VSK65" s="37"/>
      <c r="VSL65" s="37"/>
      <c r="VSM65" s="37"/>
      <c r="VSN65" s="37"/>
      <c r="VSO65" s="37"/>
      <c r="VSP65" s="37"/>
      <c r="VSQ65" s="37"/>
      <c r="VSR65" s="37"/>
      <c r="VSS65" s="37"/>
      <c r="VST65" s="37"/>
      <c r="VSU65" s="37"/>
      <c r="VSV65" s="37"/>
      <c r="VSW65" s="37"/>
      <c r="VSX65" s="37"/>
      <c r="VSY65" s="37"/>
      <c r="VSZ65" s="37"/>
      <c r="VTA65" s="37"/>
      <c r="VTB65" s="37"/>
      <c r="VTC65" s="37"/>
      <c r="VTD65" s="37"/>
      <c r="VTE65" s="37"/>
      <c r="VTF65" s="37"/>
      <c r="VTG65" s="37"/>
      <c r="VTH65" s="37"/>
      <c r="VTI65" s="37"/>
      <c r="VTJ65" s="37"/>
      <c r="VTK65" s="37"/>
      <c r="VTL65" s="37"/>
      <c r="VTM65" s="37"/>
      <c r="VTN65" s="37"/>
      <c r="VTO65" s="37"/>
      <c r="VTP65" s="37"/>
      <c r="VTQ65" s="37"/>
      <c r="VTR65" s="37"/>
      <c r="VTS65" s="37"/>
      <c r="VTT65" s="37"/>
      <c r="VTU65" s="37"/>
      <c r="VTV65" s="37"/>
      <c r="VTW65" s="37"/>
      <c r="VTX65" s="37"/>
      <c r="VTY65" s="37"/>
      <c r="VTZ65" s="37"/>
      <c r="VUA65" s="37"/>
      <c r="VUB65" s="37"/>
      <c r="VUC65" s="37"/>
      <c r="VUD65" s="37"/>
      <c r="VUE65" s="37"/>
      <c r="VUF65" s="37"/>
      <c r="VUG65" s="37"/>
      <c r="VUH65" s="37"/>
      <c r="VUI65" s="37"/>
      <c r="VUJ65" s="37"/>
      <c r="VUK65" s="37"/>
      <c r="VUL65" s="37"/>
      <c r="VUM65" s="37"/>
      <c r="VUN65" s="37"/>
      <c r="VUO65" s="37"/>
      <c r="VUP65" s="37"/>
      <c r="VUQ65" s="37"/>
      <c r="VUR65" s="37"/>
      <c r="VUS65" s="37"/>
      <c r="VUT65" s="37"/>
      <c r="VUU65" s="37"/>
      <c r="VUV65" s="37"/>
      <c r="VUW65" s="37"/>
      <c r="VUX65" s="37"/>
      <c r="VUY65" s="37"/>
      <c r="VUZ65" s="37"/>
      <c r="VVA65" s="37"/>
      <c r="VVB65" s="37"/>
      <c r="VVC65" s="37"/>
      <c r="VVD65" s="37"/>
      <c r="VVE65" s="37"/>
      <c r="VVF65" s="37"/>
      <c r="VVG65" s="37"/>
      <c r="VVH65" s="37"/>
      <c r="VVI65" s="37"/>
      <c r="VVJ65" s="37"/>
      <c r="VVK65" s="37"/>
      <c r="VVL65" s="37"/>
      <c r="VVM65" s="37"/>
      <c r="VVN65" s="37"/>
      <c r="VVO65" s="37"/>
      <c r="VVP65" s="37"/>
      <c r="VVQ65" s="37"/>
      <c r="VVR65" s="37"/>
      <c r="VVS65" s="37"/>
      <c r="VVT65" s="37"/>
      <c r="VVU65" s="37"/>
      <c r="VVV65" s="37"/>
      <c r="VVW65" s="37"/>
      <c r="VVX65" s="37"/>
      <c r="VVY65" s="37"/>
      <c r="VVZ65" s="37"/>
      <c r="VWA65" s="37"/>
      <c r="VWB65" s="37"/>
      <c r="VWC65" s="37"/>
      <c r="VWD65" s="37"/>
      <c r="VWE65" s="37"/>
      <c r="VWF65" s="37"/>
      <c r="VWG65" s="37"/>
      <c r="VWH65" s="37"/>
      <c r="VWI65" s="37"/>
      <c r="VWJ65" s="37"/>
      <c r="VWK65" s="37"/>
      <c r="VWL65" s="37"/>
      <c r="VWM65" s="37"/>
      <c r="VWN65" s="37"/>
      <c r="VWO65" s="37"/>
      <c r="VWP65" s="37"/>
      <c r="VWQ65" s="37"/>
      <c r="VWR65" s="37"/>
      <c r="VWS65" s="37"/>
      <c r="VWT65" s="37"/>
      <c r="VWU65" s="37"/>
      <c r="VWV65" s="37"/>
      <c r="VWW65" s="37"/>
      <c r="VWX65" s="37"/>
      <c r="VWY65" s="37"/>
      <c r="VWZ65" s="37"/>
      <c r="VXA65" s="37"/>
      <c r="VXB65" s="37"/>
      <c r="VXC65" s="37"/>
      <c r="VXD65" s="37"/>
      <c r="VXE65" s="37"/>
      <c r="VXF65" s="37"/>
      <c r="VXG65" s="37"/>
      <c r="VXH65" s="37"/>
      <c r="VXI65" s="37"/>
      <c r="VXJ65" s="37"/>
      <c r="VXK65" s="37"/>
      <c r="VXL65" s="37"/>
      <c r="VXM65" s="37"/>
      <c r="VXN65" s="37"/>
      <c r="VXO65" s="37"/>
      <c r="VXP65" s="37"/>
      <c r="VXQ65" s="37"/>
      <c r="VXR65" s="37"/>
      <c r="VXS65" s="37"/>
      <c r="VXT65" s="37"/>
      <c r="VXU65" s="37"/>
      <c r="VXV65" s="37"/>
      <c r="VXW65" s="37"/>
      <c r="VXX65" s="37"/>
      <c r="VXY65" s="37"/>
      <c r="VXZ65" s="37"/>
      <c r="VYA65" s="37"/>
      <c r="VYB65" s="37"/>
      <c r="VYC65" s="37"/>
      <c r="VYD65" s="37"/>
      <c r="VYE65" s="37"/>
      <c r="VYF65" s="37"/>
      <c r="VYG65" s="37"/>
      <c r="VYH65" s="37"/>
      <c r="VYI65" s="37"/>
      <c r="VYJ65" s="37"/>
      <c r="VYK65" s="37"/>
      <c r="VYL65" s="37"/>
      <c r="VYM65" s="37"/>
      <c r="VYN65" s="37"/>
      <c r="VYO65" s="37"/>
      <c r="VYP65" s="37"/>
      <c r="VYQ65" s="37"/>
      <c r="VYR65" s="37"/>
      <c r="VYS65" s="37"/>
      <c r="VYT65" s="37"/>
      <c r="VYU65" s="37"/>
      <c r="VYV65" s="37"/>
      <c r="VYW65" s="37"/>
      <c r="VYX65" s="37"/>
      <c r="VYY65" s="37"/>
      <c r="VYZ65" s="37"/>
      <c r="VZA65" s="37"/>
      <c r="VZB65" s="37"/>
      <c r="VZC65" s="37"/>
      <c r="VZD65" s="37"/>
      <c r="VZE65" s="37"/>
      <c r="VZF65" s="37"/>
      <c r="VZG65" s="37"/>
      <c r="VZH65" s="37"/>
      <c r="VZI65" s="37"/>
      <c r="VZJ65" s="37"/>
      <c r="VZK65" s="37"/>
      <c r="VZL65" s="37"/>
      <c r="VZM65" s="37"/>
      <c r="VZN65" s="37"/>
      <c r="VZO65" s="37"/>
      <c r="VZP65" s="37"/>
      <c r="VZQ65" s="37"/>
      <c r="VZR65" s="37"/>
      <c r="VZS65" s="37"/>
      <c r="VZT65" s="37"/>
      <c r="VZU65" s="37"/>
      <c r="VZV65" s="37"/>
      <c r="VZW65" s="37"/>
      <c r="VZX65" s="37"/>
      <c r="VZY65" s="37"/>
      <c r="VZZ65" s="37"/>
      <c r="WAA65" s="37"/>
      <c r="WAB65" s="37"/>
      <c r="WAC65" s="37"/>
      <c r="WAD65" s="37"/>
      <c r="WAE65" s="37"/>
      <c r="WAF65" s="37"/>
      <c r="WAG65" s="37"/>
      <c r="WAH65" s="37"/>
      <c r="WAI65" s="37"/>
      <c r="WAJ65" s="37"/>
      <c r="WAK65" s="37"/>
      <c r="WAL65" s="37"/>
      <c r="WAM65" s="37"/>
      <c r="WAN65" s="37"/>
      <c r="WAO65" s="37"/>
      <c r="WAP65" s="37"/>
      <c r="WAQ65" s="37"/>
      <c r="WAR65" s="37"/>
      <c r="WAS65" s="37"/>
      <c r="WAT65" s="37"/>
      <c r="WAU65" s="37"/>
      <c r="WAV65" s="37"/>
      <c r="WAW65" s="37"/>
      <c r="WAX65" s="37"/>
      <c r="WAY65" s="37"/>
      <c r="WAZ65" s="37"/>
      <c r="WBA65" s="37"/>
      <c r="WBB65" s="37"/>
      <c r="WBC65" s="37"/>
      <c r="WBD65" s="37"/>
      <c r="WBE65" s="37"/>
      <c r="WBF65" s="37"/>
      <c r="WBG65" s="37"/>
      <c r="WBH65" s="37"/>
      <c r="WBI65" s="37"/>
      <c r="WBJ65" s="37"/>
      <c r="WBK65" s="37"/>
      <c r="WBL65" s="37"/>
      <c r="WBM65" s="37"/>
      <c r="WBN65" s="37"/>
      <c r="WBO65" s="37"/>
      <c r="WBP65" s="37"/>
      <c r="WBQ65" s="37"/>
      <c r="WBR65" s="37"/>
      <c r="WBS65" s="37"/>
      <c r="WBT65" s="37"/>
      <c r="WBU65" s="37"/>
      <c r="WBV65" s="37"/>
      <c r="WBW65" s="37"/>
      <c r="WBX65" s="37"/>
      <c r="WBY65" s="37"/>
      <c r="WBZ65" s="37"/>
      <c r="WCA65" s="37"/>
      <c r="WCB65" s="37"/>
      <c r="WCC65" s="37"/>
      <c r="WCD65" s="37"/>
      <c r="WCE65" s="37"/>
      <c r="WCF65" s="37"/>
      <c r="WCG65" s="37"/>
      <c r="WCH65" s="37"/>
      <c r="WCI65" s="37"/>
      <c r="WCJ65" s="37"/>
      <c r="WCK65" s="37"/>
      <c r="WCL65" s="37"/>
      <c r="WCM65" s="37"/>
      <c r="WCN65" s="37"/>
      <c r="WCO65" s="37"/>
      <c r="WCP65" s="37"/>
      <c r="WCQ65" s="37"/>
      <c r="WCR65" s="37"/>
      <c r="WCS65" s="37"/>
      <c r="WCT65" s="37"/>
      <c r="WCU65" s="37"/>
      <c r="WCV65" s="37"/>
      <c r="WCW65" s="37"/>
      <c r="WCX65" s="37"/>
      <c r="WCY65" s="37"/>
      <c r="WCZ65" s="37"/>
      <c r="WDA65" s="37"/>
      <c r="WDB65" s="37"/>
      <c r="WDC65" s="37"/>
      <c r="WDD65" s="37"/>
      <c r="WDE65" s="37"/>
      <c r="WDF65" s="37"/>
      <c r="WDG65" s="37"/>
      <c r="WDH65" s="37"/>
      <c r="WDI65" s="37"/>
      <c r="WDJ65" s="37"/>
      <c r="WDK65" s="37"/>
      <c r="WDL65" s="37"/>
      <c r="WDM65" s="37"/>
      <c r="WDN65" s="37"/>
      <c r="WDO65" s="37"/>
      <c r="WDP65" s="37"/>
      <c r="WDQ65" s="37"/>
      <c r="WDR65" s="37"/>
      <c r="WDS65" s="37"/>
      <c r="WDT65" s="37"/>
      <c r="WDU65" s="37"/>
      <c r="WDV65" s="37"/>
      <c r="WDW65" s="37"/>
      <c r="WDX65" s="37"/>
      <c r="WDY65" s="37"/>
      <c r="WDZ65" s="37"/>
      <c r="WEA65" s="37"/>
      <c r="WEB65" s="37"/>
      <c r="WEC65" s="37"/>
      <c r="WED65" s="37"/>
      <c r="WEE65" s="37"/>
      <c r="WEF65" s="37"/>
      <c r="WEG65" s="37"/>
      <c r="WEH65" s="37"/>
      <c r="WEI65" s="37"/>
      <c r="WEJ65" s="37"/>
      <c r="WEK65" s="37"/>
      <c r="WEL65" s="37"/>
      <c r="WEM65" s="37"/>
      <c r="WEN65" s="37"/>
      <c r="WEO65" s="37"/>
      <c r="WEP65" s="37"/>
      <c r="WEQ65" s="37"/>
      <c r="WER65" s="37"/>
      <c r="WES65" s="37"/>
      <c r="WET65" s="37"/>
      <c r="WEU65" s="37"/>
      <c r="WEV65" s="37"/>
      <c r="WEW65" s="37"/>
      <c r="WEX65" s="37"/>
      <c r="WEY65" s="37"/>
      <c r="WEZ65" s="37"/>
      <c r="WFA65" s="37"/>
      <c r="WFB65" s="37"/>
      <c r="WFC65" s="37"/>
      <c r="WFD65" s="37"/>
      <c r="WFE65" s="37"/>
      <c r="WFF65" s="37"/>
      <c r="WFG65" s="37"/>
      <c r="WFH65" s="37"/>
      <c r="WFI65" s="37"/>
      <c r="WFJ65" s="37"/>
      <c r="WFK65" s="37"/>
      <c r="WFL65" s="37"/>
      <c r="WFM65" s="37"/>
      <c r="WFN65" s="37"/>
      <c r="WFO65" s="37"/>
      <c r="WFP65" s="37"/>
      <c r="WFQ65" s="37"/>
      <c r="WFR65" s="37"/>
      <c r="WFS65" s="37"/>
      <c r="WFT65" s="37"/>
      <c r="WFU65" s="37"/>
      <c r="WFV65" s="37"/>
      <c r="WFW65" s="37"/>
      <c r="WFX65" s="37"/>
      <c r="WFY65" s="37"/>
      <c r="WFZ65" s="37"/>
      <c r="WGA65" s="37"/>
      <c r="WGB65" s="37"/>
      <c r="WGC65" s="37"/>
      <c r="WGD65" s="37"/>
      <c r="WGE65" s="37"/>
      <c r="WGF65" s="37"/>
      <c r="WGG65" s="37"/>
      <c r="WGH65" s="37"/>
      <c r="WGI65" s="37"/>
      <c r="WGJ65" s="37"/>
      <c r="WGK65" s="37"/>
      <c r="WGL65" s="37"/>
      <c r="WGM65" s="37"/>
      <c r="WGN65" s="37"/>
      <c r="WGO65" s="37"/>
      <c r="WGP65" s="37"/>
      <c r="WGQ65" s="37"/>
      <c r="WGR65" s="37"/>
      <c r="WGS65" s="37"/>
      <c r="WGT65" s="37"/>
      <c r="WGU65" s="37"/>
      <c r="WGV65" s="37"/>
      <c r="WGW65" s="37"/>
      <c r="WGX65" s="37"/>
      <c r="WGY65" s="37"/>
      <c r="WGZ65" s="37"/>
      <c r="WHA65" s="37"/>
      <c r="WHB65" s="37"/>
      <c r="WHC65" s="37"/>
      <c r="WHD65" s="37"/>
      <c r="WHE65" s="37"/>
      <c r="WHF65" s="37"/>
      <c r="WHG65" s="37"/>
      <c r="WHH65" s="37"/>
      <c r="WHI65" s="37"/>
      <c r="WHJ65" s="37"/>
      <c r="WHK65" s="37"/>
      <c r="WHL65" s="37"/>
      <c r="WHM65" s="37"/>
      <c r="WHN65" s="37"/>
      <c r="WHO65" s="37"/>
      <c r="WHP65" s="37"/>
      <c r="WHQ65" s="37"/>
      <c r="WHR65" s="37"/>
      <c r="WHS65" s="37"/>
      <c r="WHT65" s="37"/>
      <c r="WHU65" s="37"/>
      <c r="WHV65" s="37"/>
      <c r="WHW65" s="37"/>
      <c r="WHX65" s="37"/>
      <c r="WHY65" s="37"/>
      <c r="WHZ65" s="37"/>
      <c r="WIA65" s="37"/>
      <c r="WIB65" s="37"/>
      <c r="WIC65" s="37"/>
      <c r="WID65" s="37"/>
      <c r="WIE65" s="37"/>
      <c r="WIF65" s="37"/>
      <c r="WIG65" s="37"/>
      <c r="WIH65" s="37"/>
      <c r="WII65" s="37"/>
      <c r="WIJ65" s="37"/>
      <c r="WIK65" s="37"/>
      <c r="WIL65" s="37"/>
      <c r="WIM65" s="37"/>
      <c r="WIN65" s="37"/>
      <c r="WIO65" s="37"/>
      <c r="WIP65" s="37"/>
      <c r="WIQ65" s="37"/>
      <c r="WIR65" s="37"/>
      <c r="WIS65" s="37"/>
      <c r="WIT65" s="37"/>
      <c r="WIU65" s="37"/>
      <c r="WIV65" s="37"/>
      <c r="WIW65" s="37"/>
      <c r="WIX65" s="37"/>
      <c r="WIY65" s="37"/>
      <c r="WIZ65" s="37"/>
      <c r="WJA65" s="37"/>
      <c r="WJB65" s="37"/>
      <c r="WJC65" s="37"/>
      <c r="WJD65" s="37"/>
      <c r="WJE65" s="37"/>
      <c r="WJF65" s="37"/>
      <c r="WJG65" s="37"/>
      <c r="WJH65" s="37"/>
      <c r="WJI65" s="37"/>
      <c r="WJJ65" s="37"/>
      <c r="WJK65" s="37"/>
      <c r="WJL65" s="37"/>
      <c r="WJM65" s="37"/>
      <c r="WJN65" s="37"/>
      <c r="WJO65" s="37"/>
      <c r="WJP65" s="37"/>
      <c r="WJQ65" s="37"/>
      <c r="WJR65" s="37"/>
      <c r="WJS65" s="37"/>
      <c r="WJT65" s="37"/>
      <c r="WJU65" s="37"/>
      <c r="WJV65" s="37"/>
      <c r="WJW65" s="37"/>
      <c r="WJX65" s="37"/>
      <c r="WJY65" s="37"/>
      <c r="WJZ65" s="37"/>
      <c r="WKA65" s="37"/>
      <c r="WKB65" s="37"/>
      <c r="WKC65" s="37"/>
      <c r="WKD65" s="37"/>
      <c r="WKE65" s="37"/>
      <c r="WKF65" s="37"/>
      <c r="WKG65" s="37"/>
      <c r="WKH65" s="37"/>
      <c r="WKI65" s="37"/>
      <c r="WKJ65" s="37"/>
      <c r="WKK65" s="37"/>
      <c r="WKL65" s="37"/>
      <c r="WKM65" s="37"/>
      <c r="WKN65" s="37"/>
      <c r="WKO65" s="37"/>
      <c r="WKP65" s="37"/>
      <c r="WKQ65" s="37"/>
      <c r="WKR65" s="37"/>
      <c r="WKS65" s="37"/>
      <c r="WKT65" s="37"/>
      <c r="WKU65" s="37"/>
      <c r="WKV65" s="37"/>
      <c r="WKW65" s="37"/>
      <c r="WKX65" s="37"/>
      <c r="WKY65" s="37"/>
      <c r="WKZ65" s="37"/>
      <c r="WLA65" s="37"/>
      <c r="WLB65" s="37"/>
      <c r="WLC65" s="37"/>
      <c r="WLD65" s="37"/>
      <c r="WLE65" s="37"/>
      <c r="WLF65" s="37"/>
      <c r="WLG65" s="37"/>
      <c r="WLH65" s="37"/>
      <c r="WLI65" s="37"/>
      <c r="WLJ65" s="37"/>
      <c r="WLK65" s="37"/>
      <c r="WLL65" s="37"/>
      <c r="WLM65" s="37"/>
      <c r="WLN65" s="37"/>
      <c r="WLO65" s="37"/>
      <c r="WLP65" s="37"/>
      <c r="WLQ65" s="37"/>
      <c r="WLR65" s="37"/>
      <c r="WLS65" s="37"/>
      <c r="WLT65" s="37"/>
      <c r="WLU65" s="37"/>
      <c r="WLV65" s="37"/>
      <c r="WLW65" s="37"/>
      <c r="WLX65" s="37"/>
      <c r="WLY65" s="37"/>
      <c r="WLZ65" s="37"/>
      <c r="WMA65" s="37"/>
      <c r="WMB65" s="37"/>
      <c r="WMC65" s="37"/>
      <c r="WMD65" s="37"/>
      <c r="WME65" s="37"/>
      <c r="WMF65" s="37"/>
      <c r="WMG65" s="37"/>
      <c r="WMH65" s="37"/>
      <c r="WMI65" s="37"/>
      <c r="WMJ65" s="37"/>
      <c r="WMK65" s="37"/>
      <c r="WML65" s="37"/>
      <c r="WMM65" s="37"/>
      <c r="WMN65" s="37"/>
      <c r="WMO65" s="37"/>
      <c r="WMP65" s="37"/>
      <c r="WMQ65" s="37"/>
      <c r="WMR65" s="37"/>
      <c r="WMS65" s="37"/>
      <c r="WMT65" s="37"/>
      <c r="WMU65" s="37"/>
      <c r="WMV65" s="37"/>
      <c r="WMW65" s="37"/>
      <c r="WMX65" s="37"/>
      <c r="WMY65" s="37"/>
      <c r="WMZ65" s="37"/>
      <c r="WNA65" s="37"/>
      <c r="WNB65" s="37"/>
      <c r="WNC65" s="37"/>
      <c r="WND65" s="37"/>
      <c r="WNE65" s="37"/>
      <c r="WNF65" s="37"/>
      <c r="WNG65" s="37"/>
      <c r="WNH65" s="37"/>
      <c r="WNI65" s="37"/>
      <c r="WNJ65" s="37"/>
      <c r="WNK65" s="37"/>
      <c r="WNL65" s="37"/>
      <c r="WNM65" s="37"/>
      <c r="WNN65" s="37"/>
      <c r="WNO65" s="37"/>
      <c r="WNP65" s="37"/>
      <c r="WNQ65" s="37"/>
      <c r="WNR65" s="37"/>
      <c r="WNS65" s="37"/>
      <c r="WNT65" s="37"/>
      <c r="WNU65" s="37"/>
      <c r="WNV65" s="37"/>
      <c r="WNW65" s="37"/>
      <c r="WNX65" s="37"/>
      <c r="WNY65" s="37"/>
      <c r="WNZ65" s="37"/>
      <c r="WOA65" s="37"/>
      <c r="WOB65" s="37"/>
      <c r="WOC65" s="37"/>
      <c r="WOD65" s="37"/>
      <c r="WOE65" s="37"/>
      <c r="WOF65" s="37"/>
      <c r="WOG65" s="37"/>
      <c r="WOH65" s="37"/>
      <c r="WOI65" s="37"/>
      <c r="WOJ65" s="37"/>
      <c r="WOK65" s="37"/>
      <c r="WOL65" s="37"/>
      <c r="WOM65" s="37"/>
      <c r="WON65" s="37"/>
      <c r="WOO65" s="37"/>
      <c r="WOP65" s="37"/>
      <c r="WOQ65" s="37"/>
      <c r="WOR65" s="37"/>
      <c r="WOS65" s="37"/>
      <c r="WOT65" s="37"/>
      <c r="WOU65" s="37"/>
      <c r="WOV65" s="37"/>
      <c r="WOW65" s="37"/>
      <c r="WOX65" s="37"/>
      <c r="WOY65" s="37"/>
      <c r="WOZ65" s="37"/>
      <c r="WPA65" s="37"/>
      <c r="WPB65" s="37"/>
      <c r="WPC65" s="37"/>
      <c r="WPD65" s="37"/>
      <c r="WPE65" s="37"/>
      <c r="WPF65" s="37"/>
      <c r="WPG65" s="37"/>
      <c r="WPH65" s="37"/>
      <c r="WPI65" s="37"/>
      <c r="WPJ65" s="37"/>
      <c r="WPK65" s="37"/>
      <c r="WPL65" s="37"/>
      <c r="WPM65" s="37"/>
      <c r="WPN65" s="37"/>
      <c r="WPO65" s="37"/>
      <c r="WPP65" s="37"/>
      <c r="WPQ65" s="37"/>
      <c r="WPR65" s="37"/>
      <c r="WPS65" s="37"/>
      <c r="WPT65" s="37"/>
      <c r="WPU65" s="37"/>
      <c r="WPV65" s="37"/>
      <c r="WPW65" s="37"/>
      <c r="WPX65" s="37"/>
      <c r="WPY65" s="37"/>
      <c r="WPZ65" s="37"/>
      <c r="WQA65" s="37"/>
      <c r="WQB65" s="37"/>
      <c r="WQC65" s="37"/>
      <c r="WQD65" s="37"/>
      <c r="WQE65" s="37"/>
      <c r="WQF65" s="37"/>
      <c r="WQG65" s="37"/>
      <c r="WQH65" s="37"/>
      <c r="WQI65" s="37"/>
      <c r="WQJ65" s="37"/>
      <c r="WQK65" s="37"/>
      <c r="WQL65" s="37"/>
      <c r="WQM65" s="37"/>
      <c r="WQN65" s="37"/>
      <c r="WQO65" s="37"/>
      <c r="WQP65" s="37"/>
      <c r="WQQ65" s="37"/>
      <c r="WQR65" s="37"/>
      <c r="WQS65" s="37"/>
      <c r="WQT65" s="37"/>
      <c r="WQU65" s="37"/>
      <c r="WQV65" s="37"/>
      <c r="WQW65" s="37"/>
      <c r="WQX65" s="37"/>
      <c r="WQY65" s="37"/>
      <c r="WQZ65" s="37"/>
      <c r="WRA65" s="37"/>
      <c r="WRB65" s="37"/>
      <c r="WRC65" s="37"/>
      <c r="WRD65" s="37"/>
      <c r="WRE65" s="37"/>
      <c r="WRF65" s="37"/>
      <c r="WRG65" s="37"/>
      <c r="WRH65" s="37"/>
      <c r="WRI65" s="37"/>
      <c r="WRJ65" s="37"/>
      <c r="WRK65" s="37"/>
      <c r="WRL65" s="37"/>
      <c r="WRM65" s="37"/>
      <c r="WRN65" s="37"/>
      <c r="WRO65" s="37"/>
      <c r="WRP65" s="37"/>
      <c r="WRQ65" s="37"/>
      <c r="WRR65" s="37"/>
      <c r="WRS65" s="37"/>
      <c r="WRT65" s="37"/>
      <c r="WRU65" s="37"/>
      <c r="WRV65" s="37"/>
      <c r="WRW65" s="37"/>
      <c r="WRX65" s="37"/>
      <c r="WRY65" s="37"/>
      <c r="WRZ65" s="37"/>
      <c r="WSA65" s="37"/>
      <c r="WSB65" s="37"/>
      <c r="WSC65" s="37"/>
      <c r="WSD65" s="37"/>
      <c r="WSE65" s="37"/>
      <c r="WSF65" s="37"/>
      <c r="WSG65" s="37"/>
      <c r="WSH65" s="37"/>
      <c r="WSI65" s="37"/>
      <c r="WSJ65" s="37"/>
      <c r="WSK65" s="37"/>
      <c r="WSL65" s="37"/>
      <c r="WSM65" s="37"/>
      <c r="WSN65" s="37"/>
      <c r="WSO65" s="37"/>
      <c r="WSP65" s="37"/>
      <c r="WSQ65" s="37"/>
      <c r="WSR65" s="37"/>
      <c r="WSS65" s="37"/>
      <c r="WST65" s="37"/>
      <c r="WSU65" s="37"/>
      <c r="WSV65" s="37"/>
      <c r="WSW65" s="37"/>
      <c r="WSX65" s="37"/>
      <c r="WSY65" s="37"/>
      <c r="WSZ65" s="37"/>
      <c r="WTA65" s="37"/>
      <c r="WTB65" s="37"/>
      <c r="WTC65" s="37"/>
      <c r="WTD65" s="37"/>
      <c r="WTE65" s="37"/>
      <c r="WTF65" s="37"/>
      <c r="WTG65" s="37"/>
      <c r="WTH65" s="37"/>
      <c r="WTI65" s="37"/>
      <c r="WTJ65" s="37"/>
      <c r="WTK65" s="37"/>
      <c r="WTL65" s="37"/>
      <c r="WTM65" s="37"/>
      <c r="WTN65" s="37"/>
      <c r="WTO65" s="37"/>
      <c r="WTP65" s="37"/>
      <c r="WTQ65" s="37"/>
      <c r="WTR65" s="37"/>
      <c r="WTS65" s="37"/>
      <c r="WTT65" s="37"/>
      <c r="WTU65" s="37"/>
      <c r="WTV65" s="37"/>
      <c r="WTW65" s="37"/>
      <c r="WTX65" s="37"/>
      <c r="WTY65" s="37"/>
      <c r="WTZ65" s="37"/>
      <c r="WUA65" s="37"/>
      <c r="WUB65" s="37"/>
      <c r="WUC65" s="37"/>
      <c r="WUD65" s="37"/>
      <c r="WUE65" s="37"/>
      <c r="WUF65" s="37"/>
      <c r="WUG65" s="37"/>
      <c r="WUH65" s="37"/>
      <c r="WUI65" s="37"/>
      <c r="WUJ65" s="37"/>
      <c r="WUK65" s="37"/>
      <c r="WUL65" s="37"/>
      <c r="WUM65" s="37"/>
      <c r="WUN65" s="37"/>
      <c r="WUO65" s="37"/>
      <c r="WUP65" s="37"/>
      <c r="WUQ65" s="37"/>
      <c r="WUR65" s="37"/>
      <c r="WUS65" s="37"/>
      <c r="WUT65" s="37"/>
      <c r="WUU65" s="37"/>
      <c r="WUV65" s="37"/>
      <c r="WUW65" s="37"/>
      <c r="WUX65" s="37"/>
      <c r="WUY65" s="37"/>
      <c r="WUZ65" s="37"/>
      <c r="WVA65" s="37"/>
      <c r="WVB65" s="37"/>
      <c r="WVC65" s="37"/>
      <c r="WVD65" s="37"/>
      <c r="WVE65" s="37"/>
      <c r="WVF65" s="37"/>
      <c r="WVG65" s="37"/>
      <c r="WVH65" s="37"/>
      <c r="WVI65" s="37"/>
      <c r="WVJ65" s="37"/>
      <c r="WVK65" s="37"/>
      <c r="WVL65" s="37"/>
      <c r="WVM65" s="37"/>
      <c r="WVN65" s="37"/>
      <c r="WVO65" s="37"/>
      <c r="WVP65" s="37"/>
      <c r="WVQ65" s="37"/>
      <c r="WVR65" s="37"/>
      <c r="WVS65" s="37"/>
      <c r="WVT65" s="37"/>
      <c r="WVU65" s="37"/>
      <c r="WVV65" s="37"/>
      <c r="WVW65" s="37"/>
      <c r="WVX65" s="37"/>
      <c r="WVY65" s="37"/>
      <c r="WVZ65" s="37"/>
      <c r="WWA65" s="37"/>
      <c r="WWB65" s="37"/>
      <c r="WWC65" s="37"/>
      <c r="WWD65" s="37"/>
      <c r="WWE65" s="37"/>
      <c r="WWF65" s="37"/>
      <c r="WWG65" s="37"/>
      <c r="WWH65" s="37"/>
      <c r="WWI65" s="37"/>
      <c r="WWJ65" s="37"/>
      <c r="WWK65" s="37"/>
      <c r="WWL65" s="37"/>
      <c r="WWM65" s="37"/>
      <c r="WWN65" s="37"/>
      <c r="WWO65" s="37"/>
      <c r="WWP65" s="37"/>
      <c r="WWQ65" s="37"/>
      <c r="WWR65" s="37"/>
      <c r="WWS65" s="37"/>
      <c r="WWT65" s="37"/>
      <c r="WWU65" s="37"/>
      <c r="WWV65" s="37"/>
      <c r="WWW65" s="37"/>
      <c r="WWX65" s="37"/>
      <c r="WWY65" s="37"/>
      <c r="WWZ65" s="37"/>
      <c r="WXA65" s="37"/>
      <c r="WXB65" s="37"/>
      <c r="WXC65" s="37"/>
      <c r="WXD65" s="37"/>
      <c r="WXE65" s="37"/>
      <c r="WXF65" s="37"/>
      <c r="WXG65" s="37"/>
      <c r="WXH65" s="37"/>
      <c r="WXI65" s="37"/>
      <c r="WXJ65" s="37"/>
      <c r="WXK65" s="37"/>
      <c r="WXL65" s="37"/>
      <c r="WXM65" s="37"/>
      <c r="WXN65" s="37"/>
      <c r="WXO65" s="37"/>
      <c r="WXP65" s="37"/>
      <c r="WXQ65" s="37"/>
      <c r="WXR65" s="37"/>
      <c r="WXS65" s="37"/>
      <c r="WXT65" s="37"/>
      <c r="WXU65" s="37"/>
      <c r="WXV65" s="37"/>
      <c r="WXW65" s="37"/>
      <c r="WXX65" s="37"/>
      <c r="WXY65" s="37"/>
      <c r="WXZ65" s="37"/>
      <c r="WYA65" s="37"/>
      <c r="WYB65" s="37"/>
      <c r="WYC65" s="37"/>
      <c r="WYD65" s="37"/>
      <c r="WYE65" s="37"/>
      <c r="WYF65" s="37"/>
      <c r="WYG65" s="37"/>
      <c r="WYH65" s="37"/>
      <c r="WYI65" s="37"/>
      <c r="WYJ65" s="37"/>
      <c r="WYK65" s="37"/>
      <c r="WYL65" s="37"/>
      <c r="WYM65" s="37"/>
      <c r="WYN65" s="37"/>
      <c r="WYO65" s="37"/>
      <c r="WYP65" s="37"/>
      <c r="WYQ65" s="37"/>
      <c r="WYR65" s="37"/>
      <c r="WYS65" s="37"/>
      <c r="WYT65" s="37"/>
      <c r="WYU65" s="37"/>
      <c r="WYV65" s="37"/>
      <c r="WYW65" s="37"/>
      <c r="WYX65" s="37"/>
      <c r="WYY65" s="37"/>
      <c r="WYZ65" s="37"/>
      <c r="WZA65" s="37"/>
      <c r="WZB65" s="37"/>
      <c r="WZC65" s="37"/>
      <c r="WZD65" s="37"/>
      <c r="WZE65" s="37"/>
      <c r="WZF65" s="37"/>
      <c r="WZG65" s="37"/>
      <c r="WZH65" s="37"/>
      <c r="WZI65" s="37"/>
      <c r="WZJ65" s="37"/>
      <c r="WZK65" s="37"/>
      <c r="WZL65" s="37"/>
      <c r="WZM65" s="37"/>
      <c r="WZN65" s="37"/>
      <c r="WZO65" s="37"/>
      <c r="WZP65" s="37"/>
      <c r="WZQ65" s="37"/>
      <c r="WZR65" s="37"/>
      <c r="WZS65" s="37"/>
      <c r="WZT65" s="37"/>
      <c r="WZU65" s="37"/>
      <c r="WZV65" s="37"/>
      <c r="WZW65" s="37"/>
      <c r="WZX65" s="37"/>
      <c r="WZY65" s="37"/>
      <c r="WZZ65" s="37"/>
      <c r="XAA65" s="37"/>
      <c r="XAB65" s="37"/>
      <c r="XAC65" s="37"/>
      <c r="XAD65" s="37"/>
      <c r="XAE65" s="37"/>
      <c r="XAF65" s="37"/>
      <c r="XAG65" s="37"/>
      <c r="XAH65" s="37"/>
      <c r="XAI65" s="37"/>
      <c r="XAJ65" s="37"/>
      <c r="XAK65" s="37"/>
      <c r="XAL65" s="37"/>
      <c r="XAM65" s="37"/>
      <c r="XAN65" s="37"/>
      <c r="XAO65" s="37"/>
      <c r="XAP65" s="37"/>
      <c r="XAQ65" s="37"/>
      <c r="XAR65" s="37"/>
      <c r="XAS65" s="37"/>
      <c r="XAT65" s="37"/>
      <c r="XAU65" s="37"/>
      <c r="XAV65" s="37"/>
      <c r="XAW65" s="37"/>
      <c r="XAX65" s="37"/>
      <c r="XAY65" s="37"/>
      <c r="XAZ65" s="37"/>
      <c r="XBA65" s="37"/>
      <c r="XBB65" s="37"/>
      <c r="XBC65" s="37"/>
      <c r="XBD65" s="37"/>
      <c r="XBE65" s="37"/>
      <c r="XBF65" s="37"/>
      <c r="XBG65" s="37"/>
      <c r="XBH65" s="37"/>
      <c r="XBI65" s="37"/>
      <c r="XBJ65" s="37"/>
      <c r="XBK65" s="37"/>
      <c r="XBL65" s="37"/>
      <c r="XBM65" s="37"/>
      <c r="XBN65" s="37"/>
      <c r="XBO65" s="37"/>
      <c r="XBP65" s="37"/>
      <c r="XBQ65" s="37"/>
      <c r="XBR65" s="37"/>
      <c r="XBS65" s="37"/>
      <c r="XBT65" s="37"/>
      <c r="XBU65" s="37"/>
      <c r="XBV65" s="37"/>
      <c r="XBW65" s="37"/>
      <c r="XBX65" s="37"/>
      <c r="XBY65" s="37"/>
      <c r="XBZ65" s="37"/>
      <c r="XCA65" s="37"/>
      <c r="XCB65" s="37"/>
      <c r="XCC65" s="37"/>
      <c r="XCD65" s="37"/>
      <c r="XCE65" s="37"/>
      <c r="XCF65" s="37"/>
      <c r="XCG65" s="37"/>
      <c r="XCH65" s="37"/>
      <c r="XCI65" s="37"/>
      <c r="XCJ65" s="37"/>
      <c r="XCK65" s="37"/>
      <c r="XCL65" s="37"/>
      <c r="XCM65" s="37"/>
      <c r="XCN65" s="37"/>
      <c r="XCO65" s="37"/>
      <c r="XCP65" s="37"/>
      <c r="XCQ65" s="37"/>
      <c r="XCR65" s="37"/>
      <c r="XCS65" s="37"/>
      <c r="XCT65" s="37"/>
      <c r="XCU65" s="37"/>
      <c r="XCV65" s="37"/>
      <c r="XCW65" s="37"/>
      <c r="XCX65" s="37"/>
      <c r="XCY65" s="37"/>
      <c r="XCZ65" s="37"/>
      <c r="XDA65" s="37"/>
      <c r="XDB65" s="37"/>
      <c r="XDC65" s="37"/>
      <c r="XDD65" s="37"/>
      <c r="XDE65" s="37"/>
      <c r="XDF65" s="37"/>
      <c r="XDG65" s="37"/>
      <c r="XDH65" s="37"/>
      <c r="XDI65" s="37"/>
      <c r="XDJ65" s="37"/>
      <c r="XDK65" s="37"/>
      <c r="XDL65" s="37"/>
      <c r="XDM65" s="37"/>
      <c r="XDN65" s="37"/>
      <c r="XDO65" s="37"/>
      <c r="XDP65" s="37"/>
      <c r="XDQ65" s="37"/>
      <c r="XDR65" s="37"/>
      <c r="XDS65" s="37"/>
      <c r="XDT65" s="37"/>
      <c r="XDU65" s="37"/>
      <c r="XDV65" s="37"/>
      <c r="XDW65" s="37"/>
      <c r="XDX65" s="37"/>
      <c r="XDY65" s="37"/>
      <c r="XDZ65" s="37"/>
      <c r="XEA65" s="37"/>
      <c r="XEB65" s="37"/>
      <c r="XEC65" s="37"/>
      <c r="XED65" s="37"/>
      <c r="XEE65" s="37"/>
      <c r="XEF65" s="37"/>
      <c r="XEG65" s="37"/>
      <c r="XEH65" s="37"/>
      <c r="XEI65" s="37"/>
      <c r="XEJ65" s="37"/>
      <c r="XEK65" s="37"/>
      <c r="XEL65" s="37"/>
      <c r="XEM65" s="37"/>
      <c r="XEN65" s="37"/>
      <c r="XEO65" s="37"/>
      <c r="XEP65" s="37"/>
      <c r="XEQ65" s="37"/>
      <c r="XER65" s="37"/>
      <c r="XES65" s="37"/>
      <c r="XET65" s="37"/>
      <c r="XEU65" s="37"/>
      <c r="XEV65" s="37"/>
      <c r="XEW65" s="37"/>
      <c r="XEX65" s="37"/>
      <c r="XEY65" s="37"/>
      <c r="XEZ65" s="37"/>
      <c r="XFA65" s="37"/>
      <c r="XFB65" s="37"/>
    </row>
    <row r="66" ht="67" customHeight="1" spans="1:17">
      <c r="A66" s="90"/>
      <c r="B66" s="12" t="s">
        <v>138</v>
      </c>
      <c r="C66" s="13">
        <v>3</v>
      </c>
      <c r="D66" s="95" t="s">
        <v>138</v>
      </c>
      <c r="E66" s="98" t="s">
        <v>139</v>
      </c>
      <c r="F66" s="95">
        <v>3</v>
      </c>
      <c r="G66" s="95" t="s">
        <v>140</v>
      </c>
      <c r="H66" s="95">
        <v>0</v>
      </c>
      <c r="I66" s="95" t="s">
        <v>140</v>
      </c>
      <c r="J66" s="142"/>
      <c r="K66" s="142"/>
      <c r="L66" s="142"/>
      <c r="M66" s="142"/>
      <c r="N66" s="142"/>
      <c r="O66" s="142"/>
      <c r="P66" s="95"/>
      <c r="Q66" s="95" t="s">
        <v>140</v>
      </c>
    </row>
    <row r="67" ht="43.2" spans="1:17">
      <c r="A67" s="90"/>
      <c r="B67" s="12" t="s">
        <v>141</v>
      </c>
      <c r="C67" s="13">
        <v>2</v>
      </c>
      <c r="D67" s="95" t="s">
        <v>142</v>
      </c>
      <c r="E67" s="98" t="s">
        <v>143</v>
      </c>
      <c r="F67" s="95">
        <v>2</v>
      </c>
      <c r="G67" s="95">
        <v>40</v>
      </c>
      <c r="H67" s="95">
        <v>20</v>
      </c>
      <c r="I67" s="95">
        <v>20</v>
      </c>
      <c r="J67" s="95"/>
      <c r="K67" s="95"/>
      <c r="L67" s="95"/>
      <c r="M67" s="95"/>
      <c r="N67" s="95"/>
      <c r="O67" s="95">
        <v>2</v>
      </c>
      <c r="P67" s="95"/>
      <c r="Q67" s="95"/>
    </row>
    <row r="68" ht="28.8" spans="1:17">
      <c r="A68" s="90"/>
      <c r="B68" s="90" t="s">
        <v>144</v>
      </c>
      <c r="C68" s="95">
        <v>4</v>
      </c>
      <c r="D68" s="95" t="s">
        <v>144</v>
      </c>
      <c r="E68" s="98" t="s">
        <v>145</v>
      </c>
      <c r="F68" s="95">
        <v>4</v>
      </c>
      <c r="G68" s="95" t="s">
        <v>146</v>
      </c>
      <c r="H68" s="95">
        <v>0</v>
      </c>
      <c r="I68" s="95" t="s">
        <v>146</v>
      </c>
      <c r="J68" s="95"/>
      <c r="K68" s="95"/>
      <c r="L68" s="95"/>
      <c r="M68" s="95"/>
      <c r="N68" s="95"/>
      <c r="O68" s="95"/>
      <c r="P68" s="95"/>
      <c r="Q68" s="95" t="s">
        <v>146</v>
      </c>
    </row>
    <row r="69" spans="1:17">
      <c r="A69" s="90" t="s">
        <v>147</v>
      </c>
      <c r="B69" s="90"/>
      <c r="C69" s="90"/>
      <c r="D69" s="90"/>
      <c r="E69" s="90"/>
      <c r="F69" s="95">
        <f>SUM(F68,F67,F66,F65,F50)</f>
        <v>64</v>
      </c>
      <c r="G69" s="95">
        <v>1260</v>
      </c>
      <c r="H69" s="95">
        <f>SUM(H68,H67,H66,H65,H50)</f>
        <v>450</v>
      </c>
      <c r="I69" s="95">
        <v>810</v>
      </c>
      <c r="J69" s="95">
        <f t="shared" ref="J69:N69" si="3">SUM(J65,J50)</f>
        <v>10</v>
      </c>
      <c r="K69" s="95">
        <f t="shared" si="3"/>
        <v>9</v>
      </c>
      <c r="L69" s="95">
        <f t="shared" si="3"/>
        <v>9</v>
      </c>
      <c r="M69" s="95">
        <f t="shared" si="3"/>
        <v>10</v>
      </c>
      <c r="N69" s="95">
        <f t="shared" si="3"/>
        <v>6</v>
      </c>
      <c r="O69" s="95">
        <f>SUM(O67,O65,O50)</f>
        <v>10</v>
      </c>
      <c r="P69" s="95">
        <f>SUM(P65,P50)</f>
        <v>3</v>
      </c>
      <c r="Q69" s="95">
        <f>SUM(Q66,Q68,Q50)</f>
        <v>0</v>
      </c>
    </row>
    <row r="70" ht="24" spans="1:17">
      <c r="A70" s="90" t="s">
        <v>148</v>
      </c>
      <c r="B70" s="90" t="s">
        <v>149</v>
      </c>
      <c r="C70" s="90">
        <v>4</v>
      </c>
      <c r="D70" s="95" t="s">
        <v>150</v>
      </c>
      <c r="E70" s="97" t="s">
        <v>151</v>
      </c>
      <c r="F70" s="90">
        <v>2</v>
      </c>
      <c r="G70" s="90">
        <v>36</v>
      </c>
      <c r="H70" s="60">
        <v>24</v>
      </c>
      <c r="I70" s="60">
        <v>12</v>
      </c>
      <c r="J70" s="90">
        <v>2</v>
      </c>
      <c r="K70" s="90"/>
      <c r="L70" s="90"/>
      <c r="M70" s="90"/>
      <c r="N70" s="90"/>
      <c r="O70" s="90"/>
      <c r="P70" s="90"/>
      <c r="Q70" s="90"/>
    </row>
    <row r="71" ht="24" spans="1:17">
      <c r="A71" s="90"/>
      <c r="B71" s="90"/>
      <c r="C71" s="90"/>
      <c r="D71" s="95" t="s">
        <v>152</v>
      </c>
      <c r="E71" s="97" t="s">
        <v>153</v>
      </c>
      <c r="F71" s="90">
        <v>2</v>
      </c>
      <c r="G71" s="90">
        <v>36</v>
      </c>
      <c r="H71" s="90">
        <v>36</v>
      </c>
      <c r="I71" s="90">
        <v>0</v>
      </c>
      <c r="J71" s="90"/>
      <c r="K71" s="90">
        <v>2</v>
      </c>
      <c r="L71" s="90"/>
      <c r="M71" s="90"/>
      <c r="N71" s="90"/>
      <c r="O71" s="90"/>
      <c r="P71" s="90"/>
      <c r="Q71" s="90"/>
    </row>
    <row r="72" spans="1:17">
      <c r="A72" s="90"/>
      <c r="B72" s="90" t="s">
        <v>154</v>
      </c>
      <c r="C72" s="90"/>
      <c r="D72" s="90"/>
      <c r="E72" s="90"/>
      <c r="F72" s="95">
        <v>4</v>
      </c>
      <c r="G72" s="95">
        <v>72</v>
      </c>
      <c r="H72" s="95">
        <v>60</v>
      </c>
      <c r="I72" s="95">
        <v>12</v>
      </c>
      <c r="J72" s="95">
        <v>2</v>
      </c>
      <c r="K72" s="95">
        <v>2</v>
      </c>
      <c r="L72" s="95"/>
      <c r="M72" s="95"/>
      <c r="N72" s="95"/>
      <c r="O72" s="95"/>
      <c r="P72" s="95"/>
      <c r="Q72" s="95"/>
    </row>
    <row r="73" spans="1:17">
      <c r="A73" s="90"/>
      <c r="B73" s="79" t="s">
        <v>155</v>
      </c>
      <c r="C73" s="88">
        <v>29</v>
      </c>
      <c r="D73" s="74" t="s">
        <v>156</v>
      </c>
      <c r="E73" s="98" t="s">
        <v>157</v>
      </c>
      <c r="F73" s="95">
        <v>2</v>
      </c>
      <c r="G73" s="95">
        <v>36</v>
      </c>
      <c r="H73" s="95">
        <v>36</v>
      </c>
      <c r="I73" s="95">
        <v>0</v>
      </c>
      <c r="J73" s="95"/>
      <c r="K73" s="95"/>
      <c r="L73" s="95">
        <v>2</v>
      </c>
      <c r="M73" s="95"/>
      <c r="N73" s="95"/>
      <c r="O73" s="95"/>
      <c r="P73" s="95"/>
      <c r="Q73" s="95"/>
    </row>
    <row r="74" spans="1:17">
      <c r="A74" s="90"/>
      <c r="B74" s="87"/>
      <c r="C74" s="92"/>
      <c r="D74" s="74" t="s">
        <v>158</v>
      </c>
      <c r="E74" s="98" t="s">
        <v>159</v>
      </c>
      <c r="F74" s="95">
        <v>2</v>
      </c>
      <c r="G74" s="95">
        <v>36</v>
      </c>
      <c r="H74" s="95">
        <v>36</v>
      </c>
      <c r="I74" s="95">
        <v>0</v>
      </c>
      <c r="J74" s="95"/>
      <c r="K74" s="95"/>
      <c r="L74" s="95">
        <v>2</v>
      </c>
      <c r="M74" s="95"/>
      <c r="N74" s="95"/>
      <c r="O74" s="95"/>
      <c r="P74" s="95"/>
      <c r="Q74" s="95"/>
    </row>
    <row r="75" spans="1:17">
      <c r="A75" s="90"/>
      <c r="B75" s="87"/>
      <c r="C75" s="92"/>
      <c r="D75" s="74" t="s">
        <v>160</v>
      </c>
      <c r="E75" s="98" t="s">
        <v>161</v>
      </c>
      <c r="F75" s="95">
        <v>2</v>
      </c>
      <c r="G75" s="95">
        <v>36</v>
      </c>
      <c r="H75" s="95">
        <v>36</v>
      </c>
      <c r="I75" s="95">
        <v>0</v>
      </c>
      <c r="J75" s="95"/>
      <c r="K75" s="95"/>
      <c r="L75" s="95">
        <v>2</v>
      </c>
      <c r="M75" s="95"/>
      <c r="N75" s="95"/>
      <c r="O75" s="95"/>
      <c r="P75" s="95"/>
      <c r="Q75" s="95"/>
    </row>
    <row r="76" spans="1:17">
      <c r="A76" s="90"/>
      <c r="B76" s="87"/>
      <c r="C76" s="92"/>
      <c r="D76" s="95" t="s">
        <v>162</v>
      </c>
      <c r="E76" s="98" t="s">
        <v>163</v>
      </c>
      <c r="F76" s="95">
        <v>2</v>
      </c>
      <c r="G76" s="95">
        <v>36</v>
      </c>
      <c r="H76" s="95">
        <v>36</v>
      </c>
      <c r="I76" s="95">
        <v>0</v>
      </c>
      <c r="J76" s="95"/>
      <c r="K76" s="95"/>
      <c r="L76" s="95">
        <v>2</v>
      </c>
      <c r="M76" s="95"/>
      <c r="N76" s="95"/>
      <c r="O76" s="95"/>
      <c r="P76" s="95"/>
      <c r="Q76" s="95"/>
    </row>
    <row r="77" spans="1:17">
      <c r="A77" s="90"/>
      <c r="B77" s="87"/>
      <c r="C77" s="92"/>
      <c r="D77" s="95" t="s">
        <v>164</v>
      </c>
      <c r="E77" s="134" t="s">
        <v>165</v>
      </c>
      <c r="F77" s="95">
        <v>2</v>
      </c>
      <c r="G77" s="95">
        <v>36</v>
      </c>
      <c r="H77" s="95">
        <v>36</v>
      </c>
      <c r="I77" s="95">
        <v>0</v>
      </c>
      <c r="J77" s="95"/>
      <c r="K77" s="95"/>
      <c r="L77" s="95"/>
      <c r="M77" s="95">
        <v>2</v>
      </c>
      <c r="N77" s="95"/>
      <c r="O77" s="95"/>
      <c r="P77" s="95"/>
      <c r="Q77" s="95"/>
    </row>
    <row r="78" spans="1:17">
      <c r="A78" s="90"/>
      <c r="B78" s="87"/>
      <c r="C78" s="92"/>
      <c r="D78" s="74" t="s">
        <v>166</v>
      </c>
      <c r="E78" s="135" t="s">
        <v>167</v>
      </c>
      <c r="F78" s="95">
        <v>2</v>
      </c>
      <c r="G78" s="95">
        <v>40</v>
      </c>
      <c r="H78" s="95">
        <v>20</v>
      </c>
      <c r="I78" s="95">
        <v>20</v>
      </c>
      <c r="J78" s="95"/>
      <c r="K78" s="95"/>
      <c r="L78" s="95"/>
      <c r="M78" s="95">
        <v>2</v>
      </c>
      <c r="N78" s="95"/>
      <c r="O78" s="95"/>
      <c r="P78" s="95"/>
      <c r="Q78" s="95"/>
    </row>
    <row r="79" spans="1:17">
      <c r="A79" s="90"/>
      <c r="B79" s="87"/>
      <c r="C79" s="92"/>
      <c r="D79" s="74" t="s">
        <v>168</v>
      </c>
      <c r="E79" s="135" t="s">
        <v>169</v>
      </c>
      <c r="F79" s="95">
        <v>2</v>
      </c>
      <c r="G79" s="95">
        <v>40</v>
      </c>
      <c r="H79" s="95">
        <v>20</v>
      </c>
      <c r="I79" s="95">
        <v>20</v>
      </c>
      <c r="J79" s="95"/>
      <c r="K79" s="95"/>
      <c r="L79" s="95"/>
      <c r="M79" s="95">
        <v>2</v>
      </c>
      <c r="N79" s="95"/>
      <c r="O79" s="95"/>
      <c r="P79" s="95"/>
      <c r="Q79" s="95"/>
    </row>
    <row r="80" spans="1:17">
      <c r="A80" s="90"/>
      <c r="B80" s="87"/>
      <c r="C80" s="92"/>
      <c r="D80" s="95" t="s">
        <v>170</v>
      </c>
      <c r="E80" s="98" t="s">
        <v>171</v>
      </c>
      <c r="F80" s="95">
        <v>3</v>
      </c>
      <c r="G80" s="95">
        <v>60</v>
      </c>
      <c r="H80" s="95">
        <v>20</v>
      </c>
      <c r="I80" s="95">
        <v>40</v>
      </c>
      <c r="J80" s="95"/>
      <c r="K80" s="95"/>
      <c r="L80" s="95"/>
      <c r="M80" s="95">
        <v>3</v>
      </c>
      <c r="N80" s="95"/>
      <c r="O80" s="95"/>
      <c r="P80" s="95"/>
      <c r="Q80" s="95"/>
    </row>
    <row r="81" spans="1:17">
      <c r="A81" s="90"/>
      <c r="B81" s="87"/>
      <c r="C81" s="92"/>
      <c r="D81" s="95" t="s">
        <v>172</v>
      </c>
      <c r="E81" s="98" t="s">
        <v>173</v>
      </c>
      <c r="F81" s="95">
        <v>2</v>
      </c>
      <c r="G81" s="95">
        <v>40</v>
      </c>
      <c r="H81" s="95">
        <v>20</v>
      </c>
      <c r="I81" s="95">
        <v>20</v>
      </c>
      <c r="J81" s="95"/>
      <c r="K81" s="95"/>
      <c r="L81" s="95"/>
      <c r="M81" s="95">
        <v>2</v>
      </c>
      <c r="N81" s="95"/>
      <c r="O81" s="95"/>
      <c r="P81" s="95"/>
      <c r="Q81" s="95"/>
    </row>
    <row r="82" spans="1:17">
      <c r="A82" s="90"/>
      <c r="B82" s="87"/>
      <c r="C82" s="92"/>
      <c r="D82" s="95" t="s">
        <v>174</v>
      </c>
      <c r="E82" s="98" t="s">
        <v>175</v>
      </c>
      <c r="F82" s="95">
        <v>3</v>
      </c>
      <c r="G82" s="95">
        <v>60</v>
      </c>
      <c r="H82" s="95">
        <v>20</v>
      </c>
      <c r="I82" s="95">
        <v>40</v>
      </c>
      <c r="J82" s="95"/>
      <c r="K82" s="95"/>
      <c r="L82" s="95"/>
      <c r="M82" s="95">
        <v>3</v>
      </c>
      <c r="N82" s="95"/>
      <c r="O82" s="95"/>
      <c r="P82" s="95"/>
      <c r="Q82" s="95"/>
    </row>
    <row r="83" spans="1:17">
      <c r="A83" s="90"/>
      <c r="B83" s="87"/>
      <c r="C83" s="92"/>
      <c r="D83" s="95" t="s">
        <v>176</v>
      </c>
      <c r="E83" s="98" t="s">
        <v>177</v>
      </c>
      <c r="F83" s="95">
        <v>3</v>
      </c>
      <c r="G83" s="95">
        <v>60</v>
      </c>
      <c r="H83" s="95">
        <v>20</v>
      </c>
      <c r="I83" s="95">
        <v>40</v>
      </c>
      <c r="J83" s="95"/>
      <c r="K83" s="95"/>
      <c r="L83" s="95"/>
      <c r="M83" s="95">
        <v>3</v>
      </c>
      <c r="N83" s="95"/>
      <c r="O83" s="95"/>
      <c r="P83" s="95"/>
      <c r="Q83" s="95"/>
    </row>
    <row r="84" spans="1:17">
      <c r="A84" s="90"/>
      <c r="B84" s="87"/>
      <c r="C84" s="92"/>
      <c r="D84" s="95" t="s">
        <v>178</v>
      </c>
      <c r="E84" s="98" t="s">
        <v>102</v>
      </c>
      <c r="F84" s="95">
        <v>3</v>
      </c>
      <c r="G84" s="95">
        <v>60</v>
      </c>
      <c r="H84" s="95">
        <v>20</v>
      </c>
      <c r="I84" s="95">
        <v>40</v>
      </c>
      <c r="J84" s="95"/>
      <c r="K84" s="95"/>
      <c r="L84" s="95"/>
      <c r="M84" s="95">
        <v>3</v>
      </c>
      <c r="N84" s="95"/>
      <c r="O84" s="95"/>
      <c r="P84" s="95"/>
      <c r="Q84" s="95"/>
    </row>
    <row r="85" spans="1:17">
      <c r="A85" s="90"/>
      <c r="B85" s="87"/>
      <c r="C85" s="92"/>
      <c r="D85" s="95" t="s">
        <v>179</v>
      </c>
      <c r="E85" s="98" t="s">
        <v>180</v>
      </c>
      <c r="F85" s="95">
        <v>3</v>
      </c>
      <c r="G85" s="95">
        <v>60</v>
      </c>
      <c r="H85" s="95">
        <v>20</v>
      </c>
      <c r="I85" s="95">
        <v>40</v>
      </c>
      <c r="J85" s="95"/>
      <c r="K85" s="95"/>
      <c r="L85" s="95"/>
      <c r="M85" s="95"/>
      <c r="N85" s="95">
        <v>3</v>
      </c>
      <c r="O85" s="95"/>
      <c r="P85" s="95"/>
      <c r="Q85" s="95"/>
    </row>
    <row r="86" spans="1:17">
      <c r="A86" s="90"/>
      <c r="B86" s="87"/>
      <c r="C86" s="92"/>
      <c r="D86" s="74" t="s">
        <v>181</v>
      </c>
      <c r="E86" s="98" t="s">
        <v>182</v>
      </c>
      <c r="F86" s="95">
        <v>3</v>
      </c>
      <c r="G86" s="95">
        <v>60</v>
      </c>
      <c r="H86" s="95">
        <v>20</v>
      </c>
      <c r="I86" s="95">
        <v>40</v>
      </c>
      <c r="J86" s="95"/>
      <c r="K86" s="95"/>
      <c r="L86" s="95"/>
      <c r="M86" s="95"/>
      <c r="N86" s="95">
        <v>3</v>
      </c>
      <c r="O86" s="95"/>
      <c r="P86" s="95"/>
      <c r="Q86" s="95"/>
    </row>
    <row r="87" spans="1:17">
      <c r="A87" s="90"/>
      <c r="B87" s="87"/>
      <c r="C87" s="92"/>
      <c r="D87" s="95" t="s">
        <v>183</v>
      </c>
      <c r="E87" s="98" t="s">
        <v>184</v>
      </c>
      <c r="F87" s="95">
        <v>3</v>
      </c>
      <c r="G87" s="95">
        <v>60</v>
      </c>
      <c r="H87" s="95">
        <v>20</v>
      </c>
      <c r="I87" s="95">
        <v>40</v>
      </c>
      <c r="J87" s="95"/>
      <c r="K87" s="95"/>
      <c r="L87" s="95"/>
      <c r="M87" s="95"/>
      <c r="N87" s="95">
        <v>3</v>
      </c>
      <c r="O87" s="95"/>
      <c r="P87" s="95"/>
      <c r="Q87" s="95"/>
    </row>
    <row r="88" spans="1:17">
      <c r="A88" s="90"/>
      <c r="B88" s="87"/>
      <c r="C88" s="92"/>
      <c r="D88" s="95" t="s">
        <v>185</v>
      </c>
      <c r="E88" s="98" t="s">
        <v>186</v>
      </c>
      <c r="F88" s="95">
        <v>3</v>
      </c>
      <c r="G88" s="95">
        <v>60</v>
      </c>
      <c r="H88" s="95">
        <v>20</v>
      </c>
      <c r="I88" s="95">
        <v>40</v>
      </c>
      <c r="J88" s="95"/>
      <c r="K88" s="95"/>
      <c r="L88" s="95"/>
      <c r="M88" s="95"/>
      <c r="N88" s="95">
        <v>3</v>
      </c>
      <c r="O88" s="95"/>
      <c r="P88" s="95"/>
      <c r="Q88" s="95"/>
    </row>
    <row r="89" spans="1:17">
      <c r="A89" s="90"/>
      <c r="B89" s="87"/>
      <c r="C89" s="92"/>
      <c r="D89" s="95" t="s">
        <v>187</v>
      </c>
      <c r="E89" s="98" t="s">
        <v>188</v>
      </c>
      <c r="F89" s="95">
        <v>2</v>
      </c>
      <c r="G89" s="95">
        <v>36</v>
      </c>
      <c r="H89" s="95">
        <v>36</v>
      </c>
      <c r="I89" s="95">
        <v>0</v>
      </c>
      <c r="J89" s="95"/>
      <c r="K89" s="95"/>
      <c r="L89" s="95"/>
      <c r="M89" s="95"/>
      <c r="N89" s="95">
        <v>2</v>
      </c>
      <c r="O89" s="95"/>
      <c r="P89" s="95"/>
      <c r="Q89" s="95"/>
    </row>
    <row r="90" spans="1:17">
      <c r="A90" s="90"/>
      <c r="B90" s="87"/>
      <c r="C90" s="92"/>
      <c r="D90" s="95" t="s">
        <v>189</v>
      </c>
      <c r="E90" s="98" t="s">
        <v>190</v>
      </c>
      <c r="F90" s="95">
        <v>3</v>
      </c>
      <c r="G90" s="95">
        <v>60</v>
      </c>
      <c r="H90" s="95">
        <v>20</v>
      </c>
      <c r="I90" s="95">
        <v>40</v>
      </c>
      <c r="J90" s="95"/>
      <c r="K90" s="95"/>
      <c r="L90" s="95"/>
      <c r="M90" s="95"/>
      <c r="N90" s="95">
        <v>3</v>
      </c>
      <c r="O90" s="95"/>
      <c r="P90" s="95"/>
      <c r="Q90" s="95"/>
    </row>
    <row r="91" spans="1:17">
      <c r="A91" s="90"/>
      <c r="B91" s="87"/>
      <c r="C91" s="92"/>
      <c r="D91" s="74" t="s">
        <v>191</v>
      </c>
      <c r="E91" s="98" t="s">
        <v>192</v>
      </c>
      <c r="F91" s="95">
        <v>2</v>
      </c>
      <c r="G91" s="95">
        <v>40</v>
      </c>
      <c r="H91" s="95">
        <v>20</v>
      </c>
      <c r="I91" s="95">
        <v>20</v>
      </c>
      <c r="J91" s="95"/>
      <c r="K91" s="95"/>
      <c r="L91" s="95"/>
      <c r="M91" s="95"/>
      <c r="N91" s="95">
        <v>2</v>
      </c>
      <c r="O91" s="95"/>
      <c r="P91" s="95"/>
      <c r="Q91" s="95"/>
    </row>
    <row r="92" spans="1:17">
      <c r="A92" s="90"/>
      <c r="B92" s="87"/>
      <c r="C92" s="92"/>
      <c r="D92" s="95" t="s">
        <v>193</v>
      </c>
      <c r="E92" s="98" t="s">
        <v>194</v>
      </c>
      <c r="F92" s="95">
        <v>3</v>
      </c>
      <c r="G92" s="95">
        <v>60</v>
      </c>
      <c r="H92" s="95">
        <v>20</v>
      </c>
      <c r="I92" s="95">
        <v>40</v>
      </c>
      <c r="J92" s="95"/>
      <c r="K92" s="95"/>
      <c r="L92" s="95"/>
      <c r="M92" s="95"/>
      <c r="N92" s="95"/>
      <c r="O92" s="95">
        <v>3</v>
      </c>
      <c r="P92" s="95"/>
      <c r="Q92" s="95"/>
    </row>
    <row r="93" spans="1:17">
      <c r="A93" s="90"/>
      <c r="B93" s="87"/>
      <c r="C93" s="92"/>
      <c r="D93" s="95" t="s">
        <v>195</v>
      </c>
      <c r="E93" s="98" t="s">
        <v>196</v>
      </c>
      <c r="F93" s="95">
        <v>3</v>
      </c>
      <c r="G93" s="95">
        <v>60</v>
      </c>
      <c r="H93" s="95">
        <v>20</v>
      </c>
      <c r="I93" s="95">
        <v>40</v>
      </c>
      <c r="J93" s="95"/>
      <c r="K93" s="95"/>
      <c r="L93" s="95"/>
      <c r="M93" s="95"/>
      <c r="N93" s="95"/>
      <c r="O93" s="95">
        <v>3</v>
      </c>
      <c r="P93" s="95"/>
      <c r="Q93" s="95"/>
    </row>
    <row r="94" spans="1:17">
      <c r="A94" s="90"/>
      <c r="B94" s="87"/>
      <c r="C94" s="92"/>
      <c r="D94" s="95" t="s">
        <v>197</v>
      </c>
      <c r="E94" s="98" t="s">
        <v>198</v>
      </c>
      <c r="F94" s="95">
        <v>3</v>
      </c>
      <c r="G94" s="95">
        <v>60</v>
      </c>
      <c r="H94" s="95">
        <v>20</v>
      </c>
      <c r="I94" s="95">
        <v>40</v>
      </c>
      <c r="J94" s="95"/>
      <c r="K94" s="95"/>
      <c r="L94" s="95"/>
      <c r="M94" s="95"/>
      <c r="N94" s="95"/>
      <c r="O94" s="95">
        <v>3</v>
      </c>
      <c r="P94" s="95"/>
      <c r="Q94" s="95"/>
    </row>
    <row r="95" spans="1:17">
      <c r="A95" s="90"/>
      <c r="B95" s="87"/>
      <c r="C95" s="92"/>
      <c r="D95" s="74" t="s">
        <v>199</v>
      </c>
      <c r="E95" s="98" t="s">
        <v>200</v>
      </c>
      <c r="F95" s="95">
        <v>3</v>
      </c>
      <c r="G95" s="95">
        <v>60</v>
      </c>
      <c r="H95" s="95">
        <v>20</v>
      </c>
      <c r="I95" s="95">
        <v>40</v>
      </c>
      <c r="J95" s="95"/>
      <c r="K95" s="95"/>
      <c r="L95" s="95"/>
      <c r="M95" s="95"/>
      <c r="N95" s="95"/>
      <c r="O95" s="95">
        <v>3</v>
      </c>
      <c r="P95" s="95"/>
      <c r="Q95" s="95"/>
    </row>
    <row r="96" spans="1:17">
      <c r="A96" s="90"/>
      <c r="B96" s="87"/>
      <c r="C96" s="92"/>
      <c r="D96" s="95" t="s">
        <v>201</v>
      </c>
      <c r="E96" s="98" t="s">
        <v>202</v>
      </c>
      <c r="F96" s="95">
        <v>2</v>
      </c>
      <c r="G96" s="95">
        <v>40</v>
      </c>
      <c r="H96" s="95">
        <v>20</v>
      </c>
      <c r="I96" s="95">
        <v>20</v>
      </c>
      <c r="J96" s="95"/>
      <c r="K96" s="95"/>
      <c r="L96" s="95"/>
      <c r="M96" s="95"/>
      <c r="N96" s="95"/>
      <c r="O96" s="95">
        <v>2</v>
      </c>
      <c r="P96" s="95"/>
      <c r="Q96" s="95"/>
    </row>
    <row r="97" spans="1:17">
      <c r="A97" s="90"/>
      <c r="B97" s="87"/>
      <c r="C97" s="92"/>
      <c r="D97" s="95" t="s">
        <v>203</v>
      </c>
      <c r="E97" s="98" t="s">
        <v>204</v>
      </c>
      <c r="F97" s="95">
        <v>2</v>
      </c>
      <c r="G97" s="95">
        <v>40</v>
      </c>
      <c r="H97" s="95">
        <v>20</v>
      </c>
      <c r="I97" s="95">
        <v>20</v>
      </c>
      <c r="J97" s="95"/>
      <c r="K97" s="95"/>
      <c r="L97" s="95"/>
      <c r="M97" s="95"/>
      <c r="N97" s="95"/>
      <c r="O97" s="95">
        <v>2</v>
      </c>
      <c r="P97" s="95"/>
      <c r="Q97" s="95"/>
    </row>
    <row r="98" spans="1:17">
      <c r="A98" s="90"/>
      <c r="B98" s="87"/>
      <c r="C98" s="92"/>
      <c r="D98" s="95" t="s">
        <v>205</v>
      </c>
      <c r="E98" s="98" t="s">
        <v>206</v>
      </c>
      <c r="F98" s="95">
        <v>3</v>
      </c>
      <c r="G98" s="95">
        <v>60</v>
      </c>
      <c r="H98" s="95">
        <v>20</v>
      </c>
      <c r="I98" s="95">
        <v>40</v>
      </c>
      <c r="J98" s="95"/>
      <c r="K98" s="95"/>
      <c r="L98" s="95"/>
      <c r="M98" s="95"/>
      <c r="N98" s="95"/>
      <c r="O98" s="95">
        <v>3</v>
      </c>
      <c r="P98" s="95"/>
      <c r="Q98" s="95"/>
    </row>
    <row r="99" spans="1:17">
      <c r="A99" s="90"/>
      <c r="B99" s="87"/>
      <c r="C99" s="92"/>
      <c r="D99" s="95" t="s">
        <v>207</v>
      </c>
      <c r="E99" s="98" t="s">
        <v>208</v>
      </c>
      <c r="F99" s="95">
        <v>3</v>
      </c>
      <c r="G99" s="95">
        <v>60</v>
      </c>
      <c r="H99" s="95">
        <v>20</v>
      </c>
      <c r="I99" s="95">
        <v>40</v>
      </c>
      <c r="J99" s="95"/>
      <c r="K99" s="95"/>
      <c r="L99" s="95"/>
      <c r="M99" s="95"/>
      <c r="N99" s="95"/>
      <c r="O99" s="95">
        <v>3</v>
      </c>
      <c r="P99" s="95"/>
      <c r="Q99" s="95"/>
    </row>
    <row r="100" spans="1:17">
      <c r="A100" s="90"/>
      <c r="B100" s="87"/>
      <c r="C100" s="92"/>
      <c r="D100" s="95" t="s">
        <v>209</v>
      </c>
      <c r="E100" s="98" t="s">
        <v>210</v>
      </c>
      <c r="F100" s="95">
        <v>3</v>
      </c>
      <c r="G100" s="95">
        <v>60</v>
      </c>
      <c r="H100" s="95">
        <v>20</v>
      </c>
      <c r="I100" s="95">
        <v>40</v>
      </c>
      <c r="J100" s="95"/>
      <c r="K100" s="95"/>
      <c r="L100" s="95"/>
      <c r="M100" s="95"/>
      <c r="N100" s="95"/>
      <c r="O100" s="95"/>
      <c r="P100" s="95">
        <v>3</v>
      </c>
      <c r="Q100" s="95"/>
    </row>
    <row r="101" spans="1:17">
      <c r="A101" s="90"/>
      <c r="B101" s="87"/>
      <c r="C101" s="92"/>
      <c r="D101" s="95" t="s">
        <v>211</v>
      </c>
      <c r="E101" s="98" t="s">
        <v>212</v>
      </c>
      <c r="F101" s="95">
        <v>3</v>
      </c>
      <c r="G101" s="95">
        <v>60</v>
      </c>
      <c r="H101" s="95">
        <v>20</v>
      </c>
      <c r="I101" s="95">
        <v>40</v>
      </c>
      <c r="J101" s="95"/>
      <c r="K101" s="95"/>
      <c r="L101" s="95"/>
      <c r="M101" s="95"/>
      <c r="N101" s="95"/>
      <c r="O101" s="95"/>
      <c r="P101" s="95">
        <v>3</v>
      </c>
      <c r="Q101" s="95"/>
    </row>
    <row r="102" spans="1:17">
      <c r="A102" s="90"/>
      <c r="B102" s="87"/>
      <c r="C102" s="92"/>
      <c r="D102" s="95" t="s">
        <v>213</v>
      </c>
      <c r="E102" s="98" t="s">
        <v>214</v>
      </c>
      <c r="F102" s="95">
        <v>2</v>
      </c>
      <c r="G102" s="95">
        <v>40</v>
      </c>
      <c r="H102" s="95">
        <v>20</v>
      </c>
      <c r="I102" s="95">
        <v>20</v>
      </c>
      <c r="J102" s="95"/>
      <c r="K102" s="95"/>
      <c r="L102" s="95"/>
      <c r="M102" s="95"/>
      <c r="N102" s="95"/>
      <c r="O102" s="95"/>
      <c r="P102" s="95">
        <v>2</v>
      </c>
      <c r="Q102" s="95"/>
    </row>
    <row r="103" spans="1:17">
      <c r="A103" s="90"/>
      <c r="B103" s="102"/>
      <c r="C103" s="94"/>
      <c r="D103" s="95" t="s">
        <v>215</v>
      </c>
      <c r="E103" s="98" t="s">
        <v>216</v>
      </c>
      <c r="F103" s="95">
        <v>3</v>
      </c>
      <c r="G103" s="95">
        <v>60</v>
      </c>
      <c r="H103" s="95">
        <v>20</v>
      </c>
      <c r="I103" s="95">
        <v>40</v>
      </c>
      <c r="J103" s="95"/>
      <c r="K103" s="95"/>
      <c r="L103" s="95"/>
      <c r="M103" s="95"/>
      <c r="N103" s="95"/>
      <c r="O103" s="95"/>
      <c r="P103" s="95">
        <v>3</v>
      </c>
      <c r="Q103" s="95"/>
    </row>
    <row r="104" spans="1:17">
      <c r="A104" s="90"/>
      <c r="B104" s="90" t="s">
        <v>217</v>
      </c>
      <c r="C104" s="90"/>
      <c r="D104" s="90"/>
      <c r="E104" s="90"/>
      <c r="F104" s="95">
        <f>SUM(F73:F103)</f>
        <v>80</v>
      </c>
      <c r="G104" s="95">
        <f>SUM(G73:G103)</f>
        <v>1576</v>
      </c>
      <c r="H104" s="95">
        <f>SUM(H73:H103)</f>
        <v>716</v>
      </c>
      <c r="I104" s="95">
        <f>SUM(I73:I103)</f>
        <v>860</v>
      </c>
      <c r="J104" s="95">
        <v>0</v>
      </c>
      <c r="K104" s="95">
        <f t="shared" ref="K104:P104" si="4">SUM(K73:K103)</f>
        <v>0</v>
      </c>
      <c r="L104" s="95">
        <f t="shared" si="4"/>
        <v>8</v>
      </c>
      <c r="M104" s="95">
        <f t="shared" si="4"/>
        <v>20</v>
      </c>
      <c r="N104" s="95">
        <f t="shared" si="4"/>
        <v>19</v>
      </c>
      <c r="O104" s="95">
        <f t="shared" si="4"/>
        <v>22</v>
      </c>
      <c r="P104" s="95">
        <f t="shared" si="4"/>
        <v>11</v>
      </c>
      <c r="Q104" s="95">
        <v>0</v>
      </c>
    </row>
    <row r="105" ht="24" spans="1:17">
      <c r="A105" s="85" t="s">
        <v>218</v>
      </c>
      <c r="B105" s="136"/>
      <c r="C105" s="136"/>
      <c r="D105" s="136"/>
      <c r="E105" s="137"/>
      <c r="F105" s="138" t="s">
        <v>219</v>
      </c>
      <c r="G105" s="138" t="s">
        <v>220</v>
      </c>
      <c r="H105" s="138" t="s">
        <v>221</v>
      </c>
      <c r="I105" s="138" t="s">
        <v>222</v>
      </c>
      <c r="J105" s="95">
        <v>2</v>
      </c>
      <c r="K105" s="95">
        <v>2</v>
      </c>
      <c r="L105" s="95">
        <v>2</v>
      </c>
      <c r="M105" s="95">
        <v>5</v>
      </c>
      <c r="N105" s="95">
        <v>10</v>
      </c>
      <c r="O105" s="95">
        <v>9</v>
      </c>
      <c r="P105" s="95">
        <v>3</v>
      </c>
      <c r="Q105" s="95">
        <v>0</v>
      </c>
    </row>
    <row r="106" spans="1:17">
      <c r="A106" s="139"/>
      <c r="B106" s="140"/>
      <c r="C106" s="140"/>
      <c r="D106" s="140"/>
      <c r="E106" s="141"/>
      <c r="F106" s="138">
        <f>SUM(F104,F72)</f>
        <v>84</v>
      </c>
      <c r="G106" s="138">
        <f>SUM(G104,G72)</f>
        <v>1648</v>
      </c>
      <c r="H106" s="138">
        <f>SUM(H72,H104)</f>
        <v>776</v>
      </c>
      <c r="I106" s="138">
        <f>SUM(I104,I72)</f>
        <v>872</v>
      </c>
      <c r="J106" s="95">
        <v>2</v>
      </c>
      <c r="K106" s="95">
        <v>2</v>
      </c>
      <c r="L106" s="95">
        <f t="shared" ref="L106:P106" si="5">SUM(L104,L72)</f>
        <v>8</v>
      </c>
      <c r="M106" s="95">
        <f t="shared" si="5"/>
        <v>20</v>
      </c>
      <c r="N106" s="95">
        <f t="shared" si="5"/>
        <v>19</v>
      </c>
      <c r="O106" s="95">
        <f t="shared" si="5"/>
        <v>22</v>
      </c>
      <c r="P106" s="95">
        <f t="shared" si="5"/>
        <v>11</v>
      </c>
      <c r="Q106" s="95">
        <v>0</v>
      </c>
    </row>
  </sheetData>
  <sheetProtection selectLockedCells="1" formatRows="0" insertRows="0" insertColumns="0" deleteRows="0" sort="0" autoFilter="0" pivotTables="0"/>
  <mergeCells count="63">
    <mergeCell ref="A1:Q1"/>
    <mergeCell ref="A2:Q2"/>
    <mergeCell ref="F3:I3"/>
    <mergeCell ref="J3:Q3"/>
    <mergeCell ref="J4:K4"/>
    <mergeCell ref="L4:M4"/>
    <mergeCell ref="N4:O4"/>
    <mergeCell ref="P4:Q4"/>
    <mergeCell ref="J26:Q26"/>
    <mergeCell ref="A31:E31"/>
    <mergeCell ref="C32:I32"/>
    <mergeCell ref="C33:I33"/>
    <mergeCell ref="C34:E34"/>
    <mergeCell ref="B50:E50"/>
    <mergeCell ref="D51:Q51"/>
    <mergeCell ref="D58:Q58"/>
    <mergeCell ref="B65:E65"/>
    <mergeCell ref="A69:E69"/>
    <mergeCell ref="B72:E72"/>
    <mergeCell ref="B104:E104"/>
    <mergeCell ref="A6:A30"/>
    <mergeCell ref="A32:A33"/>
    <mergeCell ref="A35:A68"/>
    <mergeCell ref="A70:A104"/>
    <mergeCell ref="B6:B9"/>
    <mergeCell ref="B10:B13"/>
    <mergeCell ref="B14:B21"/>
    <mergeCell ref="B22:B29"/>
    <mergeCell ref="B35:B42"/>
    <mergeCell ref="B43:B49"/>
    <mergeCell ref="B51:B64"/>
    <mergeCell ref="B70:B71"/>
    <mergeCell ref="B73:B103"/>
    <mergeCell ref="C3:C5"/>
    <mergeCell ref="C6:C30"/>
    <mergeCell ref="C35:C42"/>
    <mergeCell ref="C43:C49"/>
    <mergeCell ref="C51:C64"/>
    <mergeCell ref="C70:C71"/>
    <mergeCell ref="C73:C103"/>
    <mergeCell ref="D3:D5"/>
    <mergeCell ref="D17:D18"/>
    <mergeCell ref="E3:E5"/>
    <mergeCell ref="E17:E18"/>
    <mergeCell ref="F4:F5"/>
    <mergeCell ref="F17:F18"/>
    <mergeCell ref="G4:G5"/>
    <mergeCell ref="G17:G18"/>
    <mergeCell ref="H4:H5"/>
    <mergeCell ref="H17:H18"/>
    <mergeCell ref="I4:I5"/>
    <mergeCell ref="I17:I18"/>
    <mergeCell ref="J17:J18"/>
    <mergeCell ref="K17:K18"/>
    <mergeCell ref="L17:L18"/>
    <mergeCell ref="M17:M18"/>
    <mergeCell ref="N17:N18"/>
    <mergeCell ref="O17:O18"/>
    <mergeCell ref="P17:P18"/>
    <mergeCell ref="Q17:Q18"/>
    <mergeCell ref="A3:B5"/>
    <mergeCell ref="A105:E106"/>
    <mergeCell ref="J32:Q34"/>
  </mergeCells>
  <printOptions horizontalCentered="1" verticalCentered="1"/>
  <pageMargins left="0.236111111111111" right="0.236111111111111" top="0" bottom="0" header="0.314583333333333" footer="0.314583333333333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E8" sqref="E8:K8"/>
    </sheetView>
  </sheetViews>
  <sheetFormatPr defaultColWidth="9" defaultRowHeight="14.4"/>
  <cols>
    <col min="1" max="1" width="10.787037037037" customWidth="1"/>
    <col min="2" max="2" width="11.4444444444444" customWidth="1"/>
    <col min="3" max="3" width="7.88888888888889" customWidth="1"/>
    <col min="4" max="4" width="7.25925925925926" customWidth="1"/>
    <col min="5" max="12" width="6.5" customWidth="1"/>
  </cols>
  <sheetData>
    <row r="1" ht="15.6" spans="1:1">
      <c r="A1" s="21" t="s">
        <v>223</v>
      </c>
    </row>
    <row r="2" ht="20.4" spans="1:12">
      <c r="A2" s="22" t="s">
        <v>224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ht="15" customHeight="1" spans="1:12">
      <c r="A3" s="23" t="s">
        <v>225</v>
      </c>
      <c r="B3" s="23" t="s">
        <v>226</v>
      </c>
      <c r="C3" s="24" t="s">
        <v>227</v>
      </c>
      <c r="D3" s="24" t="s">
        <v>228</v>
      </c>
      <c r="E3" s="24" t="s">
        <v>229</v>
      </c>
      <c r="F3" s="24"/>
      <c r="G3" s="24"/>
      <c r="H3" s="24"/>
      <c r="I3" s="24"/>
      <c r="J3" s="24"/>
      <c r="K3" s="24"/>
      <c r="L3" s="24"/>
    </row>
    <row r="4" spans="1:12">
      <c r="A4" s="25"/>
      <c r="B4" s="25"/>
      <c r="C4" s="24"/>
      <c r="D4" s="24"/>
      <c r="E4" s="24" t="s">
        <v>230</v>
      </c>
      <c r="F4" s="24" t="s">
        <v>231</v>
      </c>
      <c r="G4" s="24" t="s">
        <v>232</v>
      </c>
      <c r="H4" s="24" t="s">
        <v>233</v>
      </c>
      <c r="I4" s="24" t="s">
        <v>234</v>
      </c>
      <c r="J4" s="24" t="s">
        <v>235</v>
      </c>
      <c r="K4" s="24" t="s">
        <v>236</v>
      </c>
      <c r="L4" s="24" t="s">
        <v>237</v>
      </c>
    </row>
    <row r="5" ht="15" customHeight="1" spans="1:12">
      <c r="A5" s="26" t="s">
        <v>238</v>
      </c>
      <c r="B5" s="26" t="s">
        <v>239</v>
      </c>
      <c r="C5" s="26">
        <v>47</v>
      </c>
      <c r="D5" s="27">
        <v>1034</v>
      </c>
      <c r="E5" s="26">
        <v>12</v>
      </c>
      <c r="F5" s="26">
        <v>13</v>
      </c>
      <c r="G5" s="26">
        <v>11</v>
      </c>
      <c r="H5" s="26">
        <v>7</v>
      </c>
      <c r="I5" s="26">
        <v>4</v>
      </c>
      <c r="J5" s="26">
        <v>0</v>
      </c>
      <c r="K5" s="26">
        <v>0</v>
      </c>
      <c r="L5" s="26">
        <v>0</v>
      </c>
    </row>
    <row r="6" spans="1:12">
      <c r="A6" s="26"/>
      <c r="B6" s="28" t="s">
        <v>240</v>
      </c>
      <c r="C6" s="29">
        <v>6</v>
      </c>
      <c r="D6" s="29">
        <v>109</v>
      </c>
      <c r="E6" s="30">
        <v>2</v>
      </c>
      <c r="F6" s="30">
        <v>2</v>
      </c>
      <c r="G6" s="30">
        <v>2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</row>
    <row r="7" ht="15" customHeight="1" spans="1:12">
      <c r="A7" s="26" t="s">
        <v>241</v>
      </c>
      <c r="B7" s="28" t="s">
        <v>239</v>
      </c>
      <c r="C7" s="29">
        <v>64</v>
      </c>
      <c r="D7" s="26">
        <v>1260</v>
      </c>
      <c r="E7" s="26">
        <v>10</v>
      </c>
      <c r="F7" s="26">
        <v>9</v>
      </c>
      <c r="G7" s="26">
        <v>9</v>
      </c>
      <c r="H7" s="26">
        <v>10</v>
      </c>
      <c r="I7" s="26">
        <v>6</v>
      </c>
      <c r="J7" s="26">
        <v>10</v>
      </c>
      <c r="K7" s="26">
        <v>3</v>
      </c>
      <c r="L7" s="26">
        <v>7</v>
      </c>
    </row>
    <row r="8" spans="1:12">
      <c r="A8" s="26"/>
      <c r="B8" s="28" t="s">
        <v>240</v>
      </c>
      <c r="C8" s="29">
        <v>33</v>
      </c>
      <c r="D8" s="31">
        <f>1518/77*33</f>
        <v>650.571428571429</v>
      </c>
      <c r="E8" s="28">
        <v>2</v>
      </c>
      <c r="F8" s="28">
        <v>2</v>
      </c>
      <c r="G8" s="28">
        <v>2</v>
      </c>
      <c r="H8" s="28">
        <v>5</v>
      </c>
      <c r="I8" s="28">
        <v>10</v>
      </c>
      <c r="J8" s="28">
        <v>9</v>
      </c>
      <c r="K8" s="28">
        <v>3</v>
      </c>
      <c r="L8" s="35">
        <v>0</v>
      </c>
    </row>
    <row r="9" spans="1:12">
      <c r="A9" s="26" t="s">
        <v>242</v>
      </c>
      <c r="B9" s="26"/>
      <c r="C9" s="26">
        <f t="shared" ref="C9:L9" si="0">SUM(C5:C8)</f>
        <v>150</v>
      </c>
      <c r="D9" s="32">
        <f t="shared" si="0"/>
        <v>3053.57142857143</v>
      </c>
      <c r="E9" s="26">
        <f t="shared" si="0"/>
        <v>26</v>
      </c>
      <c r="F9" s="26">
        <f t="shared" si="0"/>
        <v>26</v>
      </c>
      <c r="G9" s="26">
        <f t="shared" si="0"/>
        <v>24</v>
      </c>
      <c r="H9" s="26">
        <f t="shared" si="0"/>
        <v>22</v>
      </c>
      <c r="I9" s="26">
        <f t="shared" si="0"/>
        <v>20</v>
      </c>
      <c r="J9" s="26">
        <f t="shared" si="0"/>
        <v>19</v>
      </c>
      <c r="K9" s="26">
        <f t="shared" si="0"/>
        <v>6</v>
      </c>
      <c r="L9" s="26">
        <f t="shared" si="0"/>
        <v>7</v>
      </c>
    </row>
    <row r="10" ht="51" customHeight="1" spans="1:12">
      <c r="A10" s="33" t="s">
        <v>243</v>
      </c>
      <c r="B10" s="33"/>
      <c r="C10" s="34" t="s">
        <v>244</v>
      </c>
      <c r="D10" s="34"/>
      <c r="E10" s="34"/>
      <c r="F10" s="34"/>
      <c r="G10" s="34"/>
      <c r="H10" s="34"/>
      <c r="I10" s="34"/>
      <c r="J10" s="34"/>
      <c r="K10" s="34"/>
      <c r="L10" s="34"/>
    </row>
  </sheetData>
  <mergeCells count="11">
    <mergeCell ref="A2:L2"/>
    <mergeCell ref="E3:L3"/>
    <mergeCell ref="A9:B9"/>
    <mergeCell ref="A10:B10"/>
    <mergeCell ref="C10:L10"/>
    <mergeCell ref="A3:A4"/>
    <mergeCell ref="A5:A6"/>
    <mergeCell ref="A7:A8"/>
    <mergeCell ref="B3:B4"/>
    <mergeCell ref="C3:C4"/>
    <mergeCell ref="D3:D4"/>
  </mergeCells>
  <pageMargins left="0.739583333333333" right="0.739583333333333" top="0.739583333333333" bottom="0.739583333333333" header="0.298611111111111" footer="0.298611111111111"/>
  <pageSetup paperSize="9" scale="98" orientation="portrait" horizontalDpi="6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49"/>
  <sheetViews>
    <sheetView topLeftCell="A24" workbookViewId="0">
      <selection activeCell="F16" sqref="F16"/>
    </sheetView>
  </sheetViews>
  <sheetFormatPr defaultColWidth="8.72222222222222" defaultRowHeight="14.4" outlineLevelCol="5"/>
  <cols>
    <col min="1" max="5" width="16.3703703703704" style="1" customWidth="1"/>
    <col min="6" max="6" width="19.7777777777778" style="1" customWidth="1"/>
    <col min="7" max="16384" width="8.72222222222222" style="1"/>
  </cols>
  <sheetData>
    <row r="1" s="1" customFormat="1" ht="15.6" spans="1:1">
      <c r="A1" s="2" t="s">
        <v>245</v>
      </c>
    </row>
    <row r="2" ht="20.4" spans="1:6">
      <c r="A2" s="3" t="s">
        <v>246</v>
      </c>
      <c r="B2" s="3"/>
      <c r="C2" s="3"/>
      <c r="D2" s="3"/>
      <c r="E2" s="3"/>
      <c r="F2" s="3"/>
    </row>
    <row r="3" spans="1:6">
      <c r="A3" s="4" t="s">
        <v>247</v>
      </c>
      <c r="B3" s="4" t="s">
        <v>2</v>
      </c>
      <c r="C3" s="4" t="s">
        <v>248</v>
      </c>
      <c r="D3" s="4" t="s">
        <v>8</v>
      </c>
      <c r="E3" s="4" t="s">
        <v>249</v>
      </c>
      <c r="F3" s="4" t="s">
        <v>250</v>
      </c>
    </row>
    <row r="4" spans="1:6">
      <c r="A4" s="5" t="s">
        <v>251</v>
      </c>
      <c r="B4" s="5" t="s">
        <v>239</v>
      </c>
      <c r="C4" s="6" t="s">
        <v>27</v>
      </c>
      <c r="D4" s="7">
        <v>1</v>
      </c>
      <c r="E4" s="8">
        <v>36</v>
      </c>
      <c r="F4" s="7" t="s">
        <v>252</v>
      </c>
    </row>
    <row r="5" spans="1:6">
      <c r="A5" s="9"/>
      <c r="B5" s="9"/>
      <c r="C5" s="6" t="s">
        <v>29</v>
      </c>
      <c r="D5" s="7">
        <v>1</v>
      </c>
      <c r="E5" s="8">
        <v>36</v>
      </c>
      <c r="F5" s="7" t="s">
        <v>253</v>
      </c>
    </row>
    <row r="6" spans="1:6">
      <c r="A6" s="9"/>
      <c r="B6" s="9"/>
      <c r="C6" s="6" t="s">
        <v>31</v>
      </c>
      <c r="D6" s="7">
        <v>1</v>
      </c>
      <c r="E6" s="8">
        <v>36</v>
      </c>
      <c r="F6" s="7" t="s">
        <v>254</v>
      </c>
    </row>
    <row r="7" spans="1:6">
      <c r="A7" s="9"/>
      <c r="B7" s="9"/>
      <c r="C7" s="6" t="s">
        <v>33</v>
      </c>
      <c r="D7" s="7">
        <v>1</v>
      </c>
      <c r="E7" s="8">
        <v>36</v>
      </c>
      <c r="F7" s="7" t="s">
        <v>255</v>
      </c>
    </row>
    <row r="8" spans="1:6">
      <c r="A8" s="9"/>
      <c r="B8" s="9"/>
      <c r="C8" s="10" t="s">
        <v>55</v>
      </c>
      <c r="D8" s="7">
        <v>2</v>
      </c>
      <c r="E8" s="11" t="s">
        <v>58</v>
      </c>
      <c r="F8" s="7" t="s">
        <v>252</v>
      </c>
    </row>
    <row r="9" ht="28.8" spans="1:6">
      <c r="A9" s="9"/>
      <c r="B9" s="9"/>
      <c r="C9" s="6" t="s">
        <v>64</v>
      </c>
      <c r="D9" s="7">
        <v>2</v>
      </c>
      <c r="E9" s="8">
        <v>40</v>
      </c>
      <c r="F9" s="7" t="s">
        <v>254</v>
      </c>
    </row>
    <row r="10" ht="28.8" spans="1:6">
      <c r="A10" s="9"/>
      <c r="B10" s="9"/>
      <c r="C10" s="6" t="s">
        <v>80</v>
      </c>
      <c r="D10" s="7">
        <v>3</v>
      </c>
      <c r="E10" s="7">
        <v>60</v>
      </c>
      <c r="F10" s="7" t="s">
        <v>252</v>
      </c>
    </row>
    <row r="11" spans="1:6">
      <c r="A11" s="9"/>
      <c r="B11" s="9"/>
      <c r="C11" s="6" t="s">
        <v>84</v>
      </c>
      <c r="D11" s="7">
        <v>3</v>
      </c>
      <c r="E11" s="7">
        <v>60</v>
      </c>
      <c r="F11" s="7" t="s">
        <v>252</v>
      </c>
    </row>
    <row r="12" spans="1:6">
      <c r="A12" s="9"/>
      <c r="B12" s="9"/>
      <c r="C12" s="7" t="s">
        <v>88</v>
      </c>
      <c r="D12" s="7">
        <v>3</v>
      </c>
      <c r="E12" s="7">
        <v>60</v>
      </c>
      <c r="F12" s="7" t="s">
        <v>253</v>
      </c>
    </row>
    <row r="13" ht="19" customHeight="1" spans="1:6">
      <c r="A13" s="9"/>
      <c r="B13" s="9"/>
      <c r="C13" s="7" t="s">
        <v>90</v>
      </c>
      <c r="D13" s="6">
        <v>2</v>
      </c>
      <c r="E13" s="6">
        <v>40</v>
      </c>
      <c r="F13" s="7" t="s">
        <v>253</v>
      </c>
    </row>
    <row r="14" ht="19" customHeight="1" spans="1:6">
      <c r="A14" s="9"/>
      <c r="B14" s="9"/>
      <c r="C14" s="7" t="s">
        <v>95</v>
      </c>
      <c r="D14" s="6">
        <v>3</v>
      </c>
      <c r="E14" s="6">
        <v>60</v>
      </c>
      <c r="F14" s="7" t="s">
        <v>254</v>
      </c>
    </row>
    <row r="15" ht="19" customHeight="1" spans="1:6">
      <c r="A15" s="9"/>
      <c r="B15" s="9"/>
      <c r="C15" s="7" t="s">
        <v>97</v>
      </c>
      <c r="D15" s="6">
        <v>2</v>
      </c>
      <c r="E15" s="6">
        <v>40</v>
      </c>
      <c r="F15" s="7" t="s">
        <v>255</v>
      </c>
    </row>
    <row r="16" ht="19" customHeight="1" spans="1:6">
      <c r="A16" s="9"/>
      <c r="B16" s="9"/>
      <c r="C16" s="7" t="s">
        <v>99</v>
      </c>
      <c r="D16" s="6">
        <v>3</v>
      </c>
      <c r="E16" s="6">
        <v>60</v>
      </c>
      <c r="F16" s="7" t="s">
        <v>255</v>
      </c>
    </row>
    <row r="17" ht="19" customHeight="1" spans="1:6">
      <c r="A17" s="9"/>
      <c r="B17" s="9"/>
      <c r="C17" s="7" t="s">
        <v>101</v>
      </c>
      <c r="D17" s="6">
        <v>2</v>
      </c>
      <c r="E17" s="6">
        <v>40</v>
      </c>
      <c r="F17" s="7" t="s">
        <v>255</v>
      </c>
    </row>
    <row r="18" ht="48" customHeight="1" spans="1:6">
      <c r="A18" s="9"/>
      <c r="B18" s="9"/>
      <c r="C18" s="7" t="s">
        <v>105</v>
      </c>
      <c r="D18" s="6">
        <v>3</v>
      </c>
      <c r="E18" s="6">
        <v>60</v>
      </c>
      <c r="F18" s="7" t="s">
        <v>254</v>
      </c>
    </row>
    <row r="19" ht="19" customHeight="1" spans="1:6">
      <c r="A19" s="9"/>
      <c r="B19" s="9"/>
      <c r="C19" s="7" t="s">
        <v>107</v>
      </c>
      <c r="D19" s="6">
        <v>3</v>
      </c>
      <c r="E19" s="6">
        <v>60</v>
      </c>
      <c r="F19" s="7" t="s">
        <v>254</v>
      </c>
    </row>
    <row r="20" ht="40" customHeight="1" spans="1:6">
      <c r="A20" s="9"/>
      <c r="B20" s="9"/>
      <c r="C20" s="7" t="s">
        <v>256</v>
      </c>
      <c r="D20" s="6">
        <v>3</v>
      </c>
      <c r="E20" s="6">
        <v>60</v>
      </c>
      <c r="F20" s="7" t="s">
        <v>255</v>
      </c>
    </row>
    <row r="21" ht="32" customHeight="1" spans="1:6">
      <c r="A21" s="9"/>
      <c r="B21" s="9"/>
      <c r="C21" s="7" t="s">
        <v>257</v>
      </c>
      <c r="D21" s="6">
        <v>3</v>
      </c>
      <c r="E21" s="6">
        <v>60</v>
      </c>
      <c r="F21" s="7" t="s">
        <v>258</v>
      </c>
    </row>
    <row r="22" ht="32" customHeight="1" spans="1:6">
      <c r="A22" s="9"/>
      <c r="B22" s="9"/>
      <c r="C22" s="7" t="s">
        <v>259</v>
      </c>
      <c r="D22" s="12">
        <v>3</v>
      </c>
      <c r="E22" s="12">
        <v>60</v>
      </c>
      <c r="F22" s="7" t="s">
        <v>258</v>
      </c>
    </row>
    <row r="23" ht="34" customHeight="1" spans="1:6">
      <c r="A23" s="9"/>
      <c r="B23" s="9"/>
      <c r="C23" s="7" t="s">
        <v>260</v>
      </c>
      <c r="D23" s="12">
        <v>3</v>
      </c>
      <c r="E23" s="12">
        <v>60</v>
      </c>
      <c r="F23" s="7" t="s">
        <v>261</v>
      </c>
    </row>
    <row r="24" ht="33" customHeight="1" spans="1:6">
      <c r="A24" s="9"/>
      <c r="B24" s="9"/>
      <c r="C24" s="7" t="s">
        <v>262</v>
      </c>
      <c r="D24" s="12">
        <v>3</v>
      </c>
      <c r="E24" s="12">
        <v>60</v>
      </c>
      <c r="F24" s="7" t="s">
        <v>263</v>
      </c>
    </row>
    <row r="25" ht="31" customHeight="1" spans="1:6">
      <c r="A25" s="9"/>
      <c r="B25" s="9"/>
      <c r="C25" s="7" t="s">
        <v>264</v>
      </c>
      <c r="D25" s="12">
        <v>3</v>
      </c>
      <c r="E25" s="12">
        <v>60</v>
      </c>
      <c r="F25" s="7" t="s">
        <v>261</v>
      </c>
    </row>
    <row r="26" ht="41" customHeight="1" spans="1:6">
      <c r="A26" s="9"/>
      <c r="B26" s="9"/>
      <c r="C26" s="7" t="s">
        <v>265</v>
      </c>
      <c r="D26" s="13">
        <v>3</v>
      </c>
      <c r="E26" s="12">
        <v>60</v>
      </c>
      <c r="F26" s="7" t="s">
        <v>258</v>
      </c>
    </row>
    <row r="27" ht="35" customHeight="1" spans="1:6">
      <c r="A27" s="9"/>
      <c r="B27" s="9"/>
      <c r="C27" s="7" t="s">
        <v>266</v>
      </c>
      <c r="D27" s="12">
        <v>3</v>
      </c>
      <c r="E27" s="12">
        <v>60</v>
      </c>
      <c r="F27" s="7" t="s">
        <v>258</v>
      </c>
    </row>
    <row r="28" ht="45" customHeight="1" spans="1:6">
      <c r="A28" s="9"/>
      <c r="B28" s="9"/>
      <c r="C28" s="7" t="s">
        <v>267</v>
      </c>
      <c r="D28" s="12">
        <v>3</v>
      </c>
      <c r="E28" s="12">
        <v>60</v>
      </c>
      <c r="F28" s="7" t="s">
        <v>255</v>
      </c>
    </row>
    <row r="29" ht="42" customHeight="1" spans="1:6">
      <c r="A29" s="9"/>
      <c r="B29" s="9"/>
      <c r="C29" s="7" t="s">
        <v>268</v>
      </c>
      <c r="D29" s="12">
        <v>3</v>
      </c>
      <c r="E29" s="12">
        <v>60</v>
      </c>
      <c r="F29" s="7" t="s">
        <v>261</v>
      </c>
    </row>
    <row r="30" ht="42" customHeight="1" spans="1:6">
      <c r="A30" s="9"/>
      <c r="B30" s="9"/>
      <c r="C30" s="7" t="s">
        <v>269</v>
      </c>
      <c r="D30" s="12">
        <v>3</v>
      </c>
      <c r="E30" s="12">
        <v>60</v>
      </c>
      <c r="F30" s="7" t="s">
        <v>261</v>
      </c>
    </row>
    <row r="31" ht="45" customHeight="1" spans="1:6">
      <c r="A31" s="9"/>
      <c r="B31" s="9"/>
      <c r="C31" s="7" t="s">
        <v>270</v>
      </c>
      <c r="D31" s="12">
        <v>3</v>
      </c>
      <c r="E31" s="12">
        <v>60</v>
      </c>
      <c r="F31" s="7" t="s">
        <v>263</v>
      </c>
    </row>
    <row r="32" ht="19" customHeight="1" spans="1:6">
      <c r="A32" s="9"/>
      <c r="B32" s="9"/>
      <c r="C32" s="7" t="s">
        <v>138</v>
      </c>
      <c r="D32" s="12">
        <v>3</v>
      </c>
      <c r="E32" s="12" t="s">
        <v>140</v>
      </c>
      <c r="F32" s="7" t="s">
        <v>271</v>
      </c>
    </row>
    <row r="33" ht="28" customHeight="1" spans="1:6">
      <c r="A33" s="9"/>
      <c r="B33" s="9"/>
      <c r="C33" s="7" t="s">
        <v>142</v>
      </c>
      <c r="D33" s="12">
        <v>2</v>
      </c>
      <c r="E33" s="12">
        <v>20</v>
      </c>
      <c r="F33" s="7" t="s">
        <v>261</v>
      </c>
    </row>
    <row r="34" ht="19" customHeight="1" spans="1:6">
      <c r="A34" s="9"/>
      <c r="B34" s="9"/>
      <c r="C34" s="7" t="s">
        <v>144</v>
      </c>
      <c r="D34" s="12">
        <v>4</v>
      </c>
      <c r="E34" s="12" t="s">
        <v>146</v>
      </c>
      <c r="F34" s="7" t="s">
        <v>271</v>
      </c>
    </row>
    <row r="35" ht="19" customHeight="1" spans="1:6">
      <c r="A35" s="9"/>
      <c r="B35" s="6" t="s">
        <v>272</v>
      </c>
      <c r="C35" s="7"/>
      <c r="D35" s="6">
        <f>SUM(D34,D33,D32,D31,D30,D29,D28,D27,D26,D19,D18,D17,D16,D15,D14,D13,D12,D11,D10,D9,D8,D7,D6,D5,D4)</f>
        <v>62</v>
      </c>
      <c r="E35" s="6">
        <v>1356</v>
      </c>
      <c r="F35" s="7"/>
    </row>
    <row r="36" spans="1:6">
      <c r="A36" s="9"/>
      <c r="B36" s="5" t="s">
        <v>240</v>
      </c>
      <c r="C36" s="14" t="s">
        <v>166</v>
      </c>
      <c r="D36" s="12">
        <v>2</v>
      </c>
      <c r="E36" s="12">
        <v>40</v>
      </c>
      <c r="F36" s="7" t="s">
        <v>255</v>
      </c>
    </row>
    <row r="37" spans="1:6">
      <c r="A37" s="9"/>
      <c r="B37" s="9"/>
      <c r="C37" s="12" t="s">
        <v>174</v>
      </c>
      <c r="D37" s="12">
        <v>3</v>
      </c>
      <c r="E37" s="12">
        <v>60</v>
      </c>
      <c r="F37" s="7" t="s">
        <v>255</v>
      </c>
    </row>
    <row r="38" ht="15" customHeight="1" spans="1:6">
      <c r="A38" s="9"/>
      <c r="B38" s="9"/>
      <c r="C38" s="12" t="s">
        <v>179</v>
      </c>
      <c r="D38" s="12">
        <v>3</v>
      </c>
      <c r="E38" s="12">
        <v>60</v>
      </c>
      <c r="F38" s="7" t="s">
        <v>258</v>
      </c>
    </row>
    <row r="39" ht="15" customHeight="1" spans="1:6">
      <c r="A39" s="9"/>
      <c r="B39" s="9"/>
      <c r="C39" s="12" t="s">
        <v>185</v>
      </c>
      <c r="D39" s="12">
        <v>3</v>
      </c>
      <c r="E39" s="12">
        <v>60</v>
      </c>
      <c r="F39" s="7" t="s">
        <v>258</v>
      </c>
    </row>
    <row r="40" ht="32" customHeight="1" spans="1:6">
      <c r="A40" s="9"/>
      <c r="B40" s="9"/>
      <c r="C40" s="12" t="s">
        <v>191</v>
      </c>
      <c r="D40" s="12">
        <v>2</v>
      </c>
      <c r="E40" s="12">
        <v>40</v>
      </c>
      <c r="F40" s="7" t="s">
        <v>258</v>
      </c>
    </row>
    <row r="41" ht="15" customHeight="1" spans="1:6">
      <c r="A41" s="9"/>
      <c r="B41" s="9"/>
      <c r="C41" s="12" t="s">
        <v>195</v>
      </c>
      <c r="D41" s="12">
        <v>3</v>
      </c>
      <c r="E41" s="12">
        <v>60</v>
      </c>
      <c r="F41" s="7" t="s">
        <v>261</v>
      </c>
    </row>
    <row r="42" ht="15" customHeight="1" spans="1:6">
      <c r="A42" s="9"/>
      <c r="B42" s="9"/>
      <c r="C42" s="12" t="s">
        <v>197</v>
      </c>
      <c r="D42" s="12">
        <v>3</v>
      </c>
      <c r="E42" s="12">
        <v>60</v>
      </c>
      <c r="F42" s="7" t="s">
        <v>261</v>
      </c>
    </row>
    <row r="43" ht="31" customHeight="1" spans="1:6">
      <c r="A43" s="9"/>
      <c r="B43" s="9"/>
      <c r="C43" s="12" t="s">
        <v>193</v>
      </c>
      <c r="D43" s="12">
        <v>3</v>
      </c>
      <c r="E43" s="12">
        <v>60</v>
      </c>
      <c r="F43" s="7" t="s">
        <v>261</v>
      </c>
    </row>
    <row r="44" ht="15" customHeight="1" spans="1:6">
      <c r="A44" s="9"/>
      <c r="B44" s="9"/>
      <c r="C44" s="12" t="s">
        <v>213</v>
      </c>
      <c r="D44" s="12">
        <v>2</v>
      </c>
      <c r="E44" s="12">
        <v>40</v>
      </c>
      <c r="F44" s="7" t="s">
        <v>263</v>
      </c>
    </row>
    <row r="45" ht="15" customHeight="1" spans="1:6">
      <c r="A45" s="9"/>
      <c r="B45" s="15"/>
      <c r="C45" s="12" t="s">
        <v>215</v>
      </c>
      <c r="D45" s="12">
        <v>3</v>
      </c>
      <c r="E45" s="12">
        <v>60</v>
      </c>
      <c r="F45" s="7" t="s">
        <v>263</v>
      </c>
    </row>
    <row r="46" ht="15" customHeight="1" spans="1:6">
      <c r="A46" s="15"/>
      <c r="B46" s="6" t="s">
        <v>273</v>
      </c>
      <c r="C46" s="6"/>
      <c r="D46" s="6">
        <f>SUM(D36:D45)</f>
        <v>27</v>
      </c>
      <c r="E46" s="6">
        <f>SUM(E36:E45)</f>
        <v>540</v>
      </c>
      <c r="F46" s="7"/>
    </row>
    <row r="47" ht="15" customHeight="1" spans="1:6">
      <c r="A47" s="16" t="s">
        <v>274</v>
      </c>
      <c r="B47" s="17"/>
      <c r="C47" s="18"/>
      <c r="D47" s="6">
        <f>SUM(D35,D46)</f>
        <v>89</v>
      </c>
      <c r="E47" s="6">
        <f>SUM(E46,E35)</f>
        <v>1896</v>
      </c>
      <c r="F47" s="7"/>
    </row>
    <row r="48" spans="1:6">
      <c r="A48" s="6" t="s">
        <v>275</v>
      </c>
      <c r="B48" s="6"/>
      <c r="C48" s="6"/>
      <c r="D48" s="19">
        <v>0.4866</v>
      </c>
      <c r="E48" s="19"/>
      <c r="F48" s="19"/>
    </row>
    <row r="49" ht="54" customHeight="1" spans="1:6">
      <c r="A49" s="20" t="s">
        <v>276</v>
      </c>
      <c r="B49" s="20"/>
      <c r="C49" s="20"/>
      <c r="D49" s="20"/>
      <c r="E49" s="20"/>
      <c r="F49" s="20"/>
    </row>
  </sheetData>
  <mergeCells count="8">
    <mergeCell ref="A2:F2"/>
    <mergeCell ref="A47:C47"/>
    <mergeCell ref="A48:C48"/>
    <mergeCell ref="D48:F48"/>
    <mergeCell ref="A49:F49"/>
    <mergeCell ref="A4:A46"/>
    <mergeCell ref="B4:B34"/>
    <mergeCell ref="B36:B45"/>
  </mergeCells>
  <pageMargins left="0.75" right="0.75" top="1" bottom="1" header="0.5" footer="0.5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附表一</vt:lpstr>
      <vt:lpstr>附表二</vt:lpstr>
      <vt:lpstr>附表三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夢軒風</cp:lastModifiedBy>
  <dcterms:created xsi:type="dcterms:W3CDTF">2020-05-26T01:49:00Z</dcterms:created>
  <cp:lastPrinted>2021-03-22T09:08:00Z</cp:lastPrinted>
  <dcterms:modified xsi:type="dcterms:W3CDTF">2025-09-18T16:17:50Z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DDEB95E0ED8C4DAB9E0C52A1BB1190A7_13</vt:lpwstr>
  </property>
</Properties>
</file>